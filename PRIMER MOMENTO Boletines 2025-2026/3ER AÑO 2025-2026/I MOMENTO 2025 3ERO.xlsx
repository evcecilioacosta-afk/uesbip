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3ER AÑO 2025-2026\"/>
    </mc:Choice>
  </mc:AlternateContent>
  <bookViews>
    <workbookView xWindow="120" yWindow="150" windowWidth="20115" windowHeight="7995" tabRatio="996" activeTab="3"/>
  </bookViews>
  <sheets>
    <sheet name="NOMINA" sheetId="2" r:id="rId1"/>
    <sheet name="SEBASTIAN" sheetId="1" r:id="rId2"/>
    <sheet name="SANTIAGO" sheetId="5" r:id="rId3"/>
    <sheet name="VENEZIA" sheetId="6" r:id="rId4"/>
    <sheet name="CAMILA C" sheetId="8" r:id="rId5"/>
    <sheet name="VICTOR" sheetId="11" r:id="rId6"/>
    <sheet name="EBRAHIM" sheetId="7" r:id="rId7"/>
    <sheet name="SANTIAGO ANDRES" sheetId="9" r:id="rId8"/>
    <sheet name="FRANCISCO V." sheetId="12" r:id="rId9"/>
    <sheet name="JESUS HER." sheetId="13" r:id="rId10"/>
    <sheet name="YOSERT" sheetId="14" r:id="rId11"/>
    <sheet name="DIEGO IBARRA" sheetId="15" r:id="rId12"/>
    <sheet name="MARIA  V" sheetId="16" r:id="rId13"/>
    <sheet name="FRANCISCO AB" sheetId="17" r:id="rId14"/>
  </sheets>
  <externalReferences>
    <externalReference r:id="rId15"/>
  </externalReferences>
  <definedNames>
    <definedName name="_xlnm.Print_Area" localSheetId="4">'CAMILA C'!$A$1:$S$34</definedName>
    <definedName name="_xlnm.Print_Area" localSheetId="11">'DIEGO IBARRA'!$A$1:$S$34</definedName>
    <definedName name="_xlnm.Print_Area" localSheetId="6">EBRAHIM!$A$1:$S$34</definedName>
    <definedName name="_xlnm.Print_Area" localSheetId="13">'FRANCISCO AB'!$A$1:$S$34</definedName>
    <definedName name="_xlnm.Print_Area" localSheetId="8">'FRANCISCO V.'!$A$1:$S$34</definedName>
    <definedName name="_xlnm.Print_Area" localSheetId="9">'JESUS HER.'!$A$1:$S$34</definedName>
    <definedName name="_xlnm.Print_Area" localSheetId="12">'MARIA  V'!$A$1:$S$34</definedName>
    <definedName name="_xlnm.Print_Area" localSheetId="2">SANTIAGO!$A$1:$S$34</definedName>
    <definedName name="_xlnm.Print_Area" localSheetId="7">'SANTIAGO ANDRES'!$A$1:$S$34</definedName>
    <definedName name="_xlnm.Print_Area" localSheetId="1">SEBASTIAN!$A$1:$S$34</definedName>
    <definedName name="_xlnm.Print_Area" localSheetId="3">VENEZIA!$A$1:$S$34</definedName>
    <definedName name="_xlnm.Print_Area" localSheetId="5">VICTOR!$A$1:$S$34</definedName>
    <definedName name="_xlnm.Print_Area" localSheetId="10">YOSERT!$A$1:$S$34</definedName>
  </definedNames>
  <calcPr calcId="162913"/>
</workbook>
</file>

<file path=xl/calcChain.xml><?xml version="1.0" encoding="utf-8"?>
<calcChain xmlns="http://schemas.openxmlformats.org/spreadsheetml/2006/main">
  <c r="J27" i="17" l="1"/>
  <c r="J27" i="16"/>
  <c r="J27" i="15"/>
  <c r="J27" i="14"/>
  <c r="J27" i="13"/>
  <c r="J27" i="12"/>
  <c r="J27" i="9"/>
  <c r="J27" i="7"/>
  <c r="J27" i="11"/>
  <c r="J27" i="8"/>
  <c r="J27" i="6"/>
  <c r="J27" i="5"/>
  <c r="J27" i="1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</calcChain>
</file>

<file path=xl/sharedStrings.xml><?xml version="1.0" encoding="utf-8"?>
<sst xmlns="http://schemas.openxmlformats.org/spreadsheetml/2006/main" count="535" uniqueCount="78">
  <si>
    <t>BOLETIN DE CALIFICACIONES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</si>
  <si>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</si>
  <si>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</si>
  <si>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</si>
  <si>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</si>
  <si>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</si>
  <si>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</si>
  <si>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</si>
  <si>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</si>
  <si>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</si>
  <si>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</si>
  <si>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</si>
  <si>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</si>
  <si>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</si>
  <si>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</si>
  <si>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</si>
  <si>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GEOGRAFÍA, HISTORIA. Y CIUD.</t>
  </si>
  <si>
    <t>PROMEDIO</t>
  </si>
  <si>
    <t>INFORME DE LA ACTUACIÓN DEL O LA ESTUDIANTE</t>
  </si>
  <si>
    <t>CALIFICACION 1ER MOMENTO</t>
  </si>
  <si>
    <t>INASISTENCIAS</t>
  </si>
  <si>
    <t>FIRMA DEL DIRECTOR</t>
  </si>
  <si>
    <t>FIRMA DEL EVALUADOR</t>
  </si>
  <si>
    <t>SELLO</t>
  </si>
  <si>
    <t xml:space="preserve"> CALIFICACION</t>
  </si>
  <si>
    <t>ORIENTACION</t>
  </si>
  <si>
    <t>GRUPO DE CREACION, RECREACION Y PRODUCCION</t>
  </si>
  <si>
    <t>"U"</t>
  </si>
  <si>
    <t>MATURIN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</si>
  <si>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</si>
  <si>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</si>
  <si>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</si>
  <si>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</si>
  <si>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</si>
  <si>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</si>
  <si>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</si>
  <si>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S/C</t>
  </si>
  <si>
    <t>DATOS</t>
  </si>
  <si>
    <t>NOTAS</t>
  </si>
  <si>
    <t>ENTREGADO</t>
  </si>
  <si>
    <t>FÍSICA</t>
  </si>
  <si>
    <t>QUÍMICA</t>
  </si>
  <si>
    <t>BIOLOGÍA</t>
  </si>
  <si>
    <t xml:space="preserve">3ER </t>
  </si>
  <si>
    <t>2025-2026</t>
  </si>
  <si>
    <t>LINNEY COLINA</t>
  </si>
  <si>
    <t>SEBASTIÁN J. GONZÁLEZ V.</t>
  </si>
  <si>
    <t>MARIANNI VALLENIILLA</t>
  </si>
  <si>
    <t>3ER</t>
  </si>
  <si>
    <t>SANTIAGO A. GONZALEZ V</t>
  </si>
  <si>
    <t>FRANCIS SOSA</t>
  </si>
  <si>
    <t>VENEZIA NAZARETH CHACOA SOSA</t>
  </si>
  <si>
    <t>CAMILA A. CASNEIRO GUZMAN</t>
  </si>
  <si>
    <t>15 DE FEBRERO DE 2011</t>
  </si>
  <si>
    <t>MILANGELA GUZMAN</t>
  </si>
  <si>
    <t>VICTOR S. JIMENEZ M.</t>
  </si>
  <si>
    <t>BETZABETH MORALES</t>
  </si>
  <si>
    <t>EBRAHIM JOSUE LUGO RUIZ</t>
  </si>
  <si>
    <t>04 DE ENERO DE 2011</t>
  </si>
  <si>
    <t>ROSILETH RUIZ</t>
  </si>
  <si>
    <t>ANDRES E. SANTIAGO F.</t>
  </si>
  <si>
    <t>MARIA FIGUEROA</t>
  </si>
  <si>
    <t xml:space="preserve">FRANCISCO A. VELASQUEZ G. </t>
  </si>
  <si>
    <t>EVELYN  GUERRA</t>
  </si>
  <si>
    <t>JESUS R. HERNANDEZ R.</t>
  </si>
  <si>
    <t>NEIRYS RUIZ</t>
  </si>
  <si>
    <t>YOSERT ENMANUEL MEDINA MORENO</t>
  </si>
  <si>
    <t>22 DE AGOSTO DE 2010</t>
  </si>
  <si>
    <t>NOHEMY MORENO</t>
  </si>
  <si>
    <t>DIEGO ANDRES IBARRA URDANETA</t>
  </si>
  <si>
    <t>RAQUEL URDANETA</t>
  </si>
  <si>
    <t xml:space="preserve"> </t>
  </si>
  <si>
    <t>MARIA FERNANDA VALLENILLA GONZALEZ</t>
  </si>
  <si>
    <t>11 E ENERO DE 2011</t>
  </si>
  <si>
    <t>BRIZAIDA GONZALEZ</t>
  </si>
  <si>
    <t>FRANCISCO A. ABBOUD L.</t>
  </si>
  <si>
    <t>MERLIX LEANDRO</t>
  </si>
  <si>
    <t>U. E. CECILIO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</si>
</sst>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2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1"/>
      <name val="Times New Roman"/>
      <family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EFEFF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3" xfId="0" applyFont="1" applyBorder="1"/>
    <xf numFmtId="0" fontId="11" fillId="0" borderId="12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1" fillId="0" borderId="28" xfId="0" applyFont="1" applyBorder="1" applyAlignment="1"/>
    <xf numFmtId="0" fontId="11" fillId="0" borderId="28" xfId="0" applyFont="1" applyBorder="1"/>
    <xf numFmtId="0" fontId="12" fillId="0" borderId="28" xfId="0" applyFont="1" applyBorder="1"/>
    <xf numFmtId="0" fontId="11" fillId="0" borderId="27" xfId="0" applyFont="1" applyBorder="1"/>
    <xf numFmtId="0" fontId="12" fillId="0" borderId="28" xfId="0" applyFont="1" applyBorder="1" applyAlignment="1"/>
    <xf numFmtId="0" fontId="14" fillId="0" borderId="28" xfId="0" applyFont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45" xfId="0" applyBorder="1"/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0" fillId="0" borderId="5" xfId="0" applyBorder="1"/>
    <xf numFmtId="0" fontId="18" fillId="7" borderId="5" xfId="0" applyFont="1" applyFill="1" applyBorder="1"/>
    <xf numFmtId="0" fontId="18" fillId="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21" fillId="8" borderId="5" xfId="0" applyNumberFormat="1" applyFont="1" applyFill="1" applyBorder="1" applyAlignment="1">
      <alignment horizontal="center" vertical="center" wrapText="1"/>
    </xf>
    <xf numFmtId="164" fontId="21" fillId="8" borderId="5" xfId="0" applyNumberFormat="1" applyFont="1" applyFill="1" applyBorder="1" applyAlignment="1">
      <alignment horizontal="center" vertical="top" wrapText="1"/>
    </xf>
    <xf numFmtId="164" fontId="21" fillId="8" borderId="49" xfId="0" applyNumberFormat="1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8" fillId="9" borderId="5" xfId="0" applyFont="1" applyFill="1" applyBorder="1"/>
    <xf numFmtId="0" fontId="12" fillId="0" borderId="4" xfId="0" applyFont="1" applyBorder="1" applyAlignment="1">
      <alignment horizontal="center"/>
    </xf>
    <xf numFmtId="0" fontId="18" fillId="0" borderId="0" xfId="0" applyFont="1" applyBorder="1"/>
    <xf numFmtId="0" fontId="5" fillId="0" borderId="0" xfId="0" applyFont="1" applyBorder="1" applyAlignment="1">
      <alignment vertical="center" wrapText="1"/>
    </xf>
    <xf numFmtId="0" fontId="1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9" fillId="0" borderId="5" xfId="1" applyBorder="1" applyAlignment="1">
      <alignment horizontal="left"/>
    </xf>
    <xf numFmtId="0" fontId="18" fillId="7" borderId="47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8" fillId="7" borderId="48" xfId="0" applyFont="1" applyFill="1" applyBorder="1" applyAlignment="1">
      <alignment horizontal="center"/>
    </xf>
    <xf numFmtId="0" fontId="19" fillId="0" borderId="47" xfId="1" applyBorder="1" applyAlignment="1">
      <alignment horizontal="left"/>
    </xf>
    <xf numFmtId="0" fontId="19" fillId="0" borderId="4" xfId="1" applyBorder="1" applyAlignment="1">
      <alignment horizontal="left"/>
    </xf>
    <xf numFmtId="0" fontId="19" fillId="0" borderId="48" xfId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2" fillId="0" borderId="22" xfId="0" applyNumberFormat="1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/>
    </xf>
    <xf numFmtId="0" fontId="10" fillId="0" borderId="2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7" fillId="5" borderId="33" xfId="0" applyFont="1" applyFill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wrapText="1"/>
    </xf>
    <xf numFmtId="0" fontId="12" fillId="4" borderId="34" xfId="0" applyFont="1" applyFill="1" applyBorder="1" applyAlignment="1">
      <alignment horizontal="center" wrapText="1"/>
    </xf>
    <xf numFmtId="0" fontId="12" fillId="4" borderId="35" xfId="0" applyFont="1" applyFill="1" applyBorder="1" applyAlignment="1">
      <alignment horizontal="center" wrapText="1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7" fillId="8" borderId="1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shrinkToFit="1"/>
    </xf>
    <xf numFmtId="2" fontId="12" fillId="0" borderId="13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10" borderId="9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2" fontId="12" fillId="10" borderId="13" xfId="0" applyNumberFormat="1" applyFont="1" applyFill="1" applyBorder="1" applyAlignment="1">
      <alignment horizontal="center"/>
    </xf>
    <xf numFmtId="2" fontId="12" fillId="10" borderId="18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133350</xdr:colOff>
      <xdr:row>9</xdr:row>
      <xdr:rowOff>0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30492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146137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LO-PC\Public\DOCUMENTOS%202023-2024\PLANILLAS%20DE%20CONTROLO%20DE%20EVALUACION%202023-2024%20-FORM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ERO"/>
      <sheetName val="2DO AÑO"/>
      <sheetName val="3ERO AÑO U"/>
      <sheetName val="4TO A"/>
      <sheetName val="4TO B"/>
      <sheetName val="5TO U"/>
      <sheetName val="2DO AÑO FINAL"/>
    </sheetNames>
    <sheetDataSet>
      <sheetData sheetId="0"/>
      <sheetData sheetId="1">
        <row r="14">
          <cell r="C14" t="str">
            <v>Ramírez Guzmán Liliana Sofia</v>
          </cell>
        </row>
        <row r="15">
          <cell r="C15" t="str">
            <v>Giraldo Pérez Miguel Abdallah</v>
          </cell>
        </row>
        <row r="16">
          <cell r="C16" t="str">
            <v>Ruiz Blanco Samuel Alejandro</v>
          </cell>
        </row>
        <row r="17">
          <cell r="C17" t="str">
            <v>Pinto Montserrat Jose Carlos</v>
          </cell>
        </row>
        <row r="18">
          <cell r="C18" t="str">
            <v>Urdaneta Moy Cesar Javier</v>
          </cell>
        </row>
        <row r="19">
          <cell r="C19" t="str">
            <v>Sanchez Rodriguez Mariangelis Valentina</v>
          </cell>
        </row>
        <row r="20">
          <cell r="C20" t="str">
            <v>Marcano Flores Daymelkis Alejandra</v>
          </cell>
        </row>
        <row r="21">
          <cell r="C21" t="str">
            <v>Martínez Caraballo Antonella Valentina</v>
          </cell>
        </row>
        <row r="22">
          <cell r="C22" t="str">
            <v>Lara Gutierrez Frank Carlos</v>
          </cell>
        </row>
        <row r="23">
          <cell r="C23" t="str">
            <v xml:space="preserve">Chaparro Maican Sophia Valentina </v>
          </cell>
        </row>
        <row r="24">
          <cell r="C24" t="str">
            <v>Castro Roca Isabella Sofia</v>
          </cell>
        </row>
        <row r="25">
          <cell r="C25" t="str">
            <v xml:space="preserve">Castro Roca Ana Lucia </v>
          </cell>
        </row>
        <row r="26">
          <cell r="C26" t="str">
            <v>Canales Moreno Fernando Antonio</v>
          </cell>
        </row>
        <row r="27">
          <cell r="C27" t="str">
            <v>Quijada Henriquez Jose Andres</v>
          </cell>
        </row>
        <row r="28">
          <cell r="C28" t="str">
            <v>Graterol Diaz Nathalia  Valentina</v>
          </cell>
        </row>
        <row r="29">
          <cell r="C29" t="str">
            <v>Rondon Garcia Genesis Gabriela</v>
          </cell>
        </row>
        <row r="30">
          <cell r="C30" t="str">
            <v>Nava Yeguez Dana Valentina</v>
          </cell>
        </row>
        <row r="31">
          <cell r="C31" t="str">
            <v>Cabral Sosa Kevin Eduardo</v>
          </cell>
        </row>
        <row r="32">
          <cell r="C32" t="str">
            <v>González Bidean David Alejandro</v>
          </cell>
        </row>
        <row r="33">
          <cell r="C33" t="str">
            <v>Silva López Christian Alexei Miguel</v>
          </cell>
        </row>
        <row r="34">
          <cell r="C34" t="str">
            <v xml:space="preserve">Loaiza Navarro Cirangeli Rocel </v>
          </cell>
        </row>
        <row r="35">
          <cell r="C35" t="str">
            <v>Vasquez Garcia Anghelyn Sofia</v>
          </cell>
        </row>
        <row r="36">
          <cell r="C36" t="str">
            <v>Zapata Caraballo Valeria Valentina</v>
          </cell>
        </row>
        <row r="37">
          <cell r="C37" t="str">
            <v>Sousa Yibinin Michell Valentina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30"/>
  <sheetViews>
    <sheetView workbookViewId="0">
      <selection activeCell="C21" sqref="C21:F21"/>
    </sheetView>
  </sheetViews>
  <sheetFormatPr baseColWidth="10" defaultRowHeight="15" x14ac:dyDescent="0.25"/>
  <cols>
    <col min="1" max="1" width="4.28515625" customWidth="1"/>
    <col min="9" max="9" width="11.85546875" customWidth="1"/>
  </cols>
  <sheetData>
    <row r="1" spans="1:9" x14ac:dyDescent="0.25">
      <c r="A1" t="s">
        <v>29</v>
      </c>
    </row>
    <row r="2" spans="1:9" x14ac:dyDescent="0.25">
      <c r="A2" t="s">
        <v>30</v>
      </c>
    </row>
    <row r="3" spans="1:9" x14ac:dyDescent="0.25">
      <c r="A3" t="s">
        <v>31</v>
      </c>
    </row>
    <row r="4" spans="1:9" x14ac:dyDescent="0.25">
      <c r="A4" t="s">
        <v>32</v>
      </c>
    </row>
    <row r="5" spans="1:9" s="1" customFormat="1" x14ac:dyDescent="0.25"/>
    <row r="6" spans="1:9" x14ac:dyDescent="0.25">
      <c r="A6" s="34" t="s">
        <v>33</v>
      </c>
      <c r="B6" s="35" t="s">
        <v>34</v>
      </c>
      <c r="C6" s="51" t="s">
        <v>35</v>
      </c>
      <c r="D6" s="52"/>
      <c r="E6" s="52"/>
      <c r="F6" s="53"/>
      <c r="G6" s="41" t="s">
        <v>37</v>
      </c>
      <c r="H6" s="41" t="s">
        <v>38</v>
      </c>
      <c r="I6" s="42" t="s">
        <v>39</v>
      </c>
    </row>
    <row r="7" spans="1:9" x14ac:dyDescent="0.25">
      <c r="A7" s="33">
        <v>1</v>
      </c>
      <c r="B7" s="37">
        <v>33234578</v>
      </c>
      <c r="C7" s="54" t="str">
        <f>UPPER('[1]2DO AÑO'!C14)</f>
        <v>RAMÍREZ GUZMÁN LILIANA SOFIA</v>
      </c>
      <c r="D7" s="55"/>
      <c r="E7" s="55"/>
      <c r="F7" s="56"/>
      <c r="G7" s="36">
        <v>2</v>
      </c>
      <c r="H7" s="36">
        <v>2</v>
      </c>
      <c r="I7" s="40"/>
    </row>
    <row r="8" spans="1:9" x14ac:dyDescent="0.25">
      <c r="A8" s="33">
        <v>2</v>
      </c>
      <c r="B8" s="37">
        <v>33276519</v>
      </c>
      <c r="C8" s="50" t="str">
        <f>UPPER('[1]2DO AÑO'!C15)</f>
        <v>GIRALDO PÉREZ MIGUEL ABDALLAH</v>
      </c>
      <c r="D8" s="50"/>
      <c r="E8" s="50"/>
      <c r="F8" s="50"/>
      <c r="G8" s="36">
        <v>2</v>
      </c>
      <c r="H8" s="36">
        <v>2</v>
      </c>
      <c r="I8" s="33"/>
    </row>
    <row r="9" spans="1:9" x14ac:dyDescent="0.25">
      <c r="A9" s="33">
        <v>3</v>
      </c>
      <c r="B9" s="38">
        <v>33277837</v>
      </c>
      <c r="C9" s="50" t="str">
        <f>UPPER('[1]2DO AÑO'!C16)</f>
        <v>RUIZ BLANCO SAMUEL ALEJANDRO</v>
      </c>
      <c r="D9" s="50"/>
      <c r="E9" s="50"/>
      <c r="F9" s="50"/>
      <c r="G9" s="36">
        <v>2</v>
      </c>
      <c r="H9" s="36">
        <v>2</v>
      </c>
      <c r="I9" s="33"/>
    </row>
    <row r="10" spans="1:9" x14ac:dyDescent="0.25">
      <c r="A10" s="33">
        <v>4</v>
      </c>
      <c r="B10" s="37">
        <v>33298920</v>
      </c>
      <c r="C10" s="50" t="str">
        <f>UPPER('[1]2DO AÑO'!C17)</f>
        <v>PINTO MONTSERRAT JOSE CARLOS</v>
      </c>
      <c r="D10" s="50"/>
      <c r="E10" s="50"/>
      <c r="F10" s="50"/>
      <c r="G10" s="36">
        <v>2</v>
      </c>
      <c r="H10" s="36">
        <v>2</v>
      </c>
      <c r="I10" s="33"/>
    </row>
    <row r="11" spans="1:9" x14ac:dyDescent="0.25">
      <c r="A11" s="33">
        <v>5</v>
      </c>
      <c r="B11" s="38">
        <v>33473548</v>
      </c>
      <c r="C11" s="50" t="str">
        <f>UPPER('[1]2DO AÑO'!C18)</f>
        <v>URDANETA MOY CESAR JAVIER</v>
      </c>
      <c r="D11" s="50"/>
      <c r="E11" s="50"/>
      <c r="F11" s="50"/>
      <c r="G11" s="36">
        <v>2</v>
      </c>
      <c r="H11" s="36">
        <v>2</v>
      </c>
      <c r="I11" s="33"/>
    </row>
    <row r="12" spans="1:9" x14ac:dyDescent="0.25">
      <c r="A12" s="33">
        <v>6</v>
      </c>
      <c r="B12" s="38">
        <v>33575097</v>
      </c>
      <c r="C12" s="50" t="str">
        <f>UPPER('[1]2DO AÑO'!C19)</f>
        <v>SANCHEZ RODRIGUEZ MARIANGELIS VALENTINA</v>
      </c>
      <c r="D12" s="50"/>
      <c r="E12" s="50"/>
      <c r="F12" s="50"/>
      <c r="G12" s="36">
        <v>2</v>
      </c>
      <c r="H12" s="36">
        <v>2</v>
      </c>
      <c r="I12" s="33"/>
    </row>
    <row r="13" spans="1:9" x14ac:dyDescent="0.25">
      <c r="A13" s="33">
        <v>7</v>
      </c>
      <c r="B13" s="38">
        <v>33579158</v>
      </c>
      <c r="C13" s="50" t="str">
        <f>UPPER('[1]2DO AÑO'!C20)</f>
        <v>MARCANO FLORES DAYMELKIS ALEJANDRA</v>
      </c>
      <c r="D13" s="50"/>
      <c r="E13" s="50"/>
      <c r="F13" s="50"/>
      <c r="G13" s="36">
        <v>2</v>
      </c>
      <c r="H13" s="36">
        <v>2</v>
      </c>
      <c r="I13" s="33"/>
    </row>
    <row r="14" spans="1:9" x14ac:dyDescent="0.25">
      <c r="A14" s="33">
        <v>8</v>
      </c>
      <c r="B14" s="38">
        <v>33679280</v>
      </c>
      <c r="C14" s="50" t="str">
        <f>UPPER('[1]2DO AÑO'!C21)</f>
        <v>MARTÍNEZ CARABALLO ANTONELLA VALENTINA</v>
      </c>
      <c r="D14" s="50"/>
      <c r="E14" s="50"/>
      <c r="F14" s="50"/>
      <c r="G14" s="36">
        <v>2</v>
      </c>
      <c r="H14" s="36">
        <v>2</v>
      </c>
      <c r="I14" s="33"/>
    </row>
    <row r="15" spans="1:9" x14ac:dyDescent="0.25">
      <c r="A15" s="33">
        <v>9</v>
      </c>
      <c r="B15" s="38">
        <v>33792385</v>
      </c>
      <c r="C15" s="50" t="str">
        <f>UPPER('[1]2DO AÑO'!C22)</f>
        <v>LARA GUTIERREZ FRANK CARLOS</v>
      </c>
      <c r="D15" s="50"/>
      <c r="E15" s="50"/>
      <c r="F15" s="50"/>
      <c r="G15" s="36">
        <v>2</v>
      </c>
      <c r="H15" s="36">
        <v>2</v>
      </c>
      <c r="I15" s="33"/>
    </row>
    <row r="16" spans="1:9" x14ac:dyDescent="0.25">
      <c r="A16" s="33">
        <v>10</v>
      </c>
      <c r="B16" s="38">
        <v>33827333</v>
      </c>
      <c r="C16" s="50" t="str">
        <f>UPPER('[1]2DO AÑO'!C23)</f>
        <v xml:space="preserve">CHAPARRO MAICAN SOPHIA VALENTINA </v>
      </c>
      <c r="D16" s="50"/>
      <c r="E16" s="50"/>
      <c r="F16" s="50"/>
      <c r="G16" s="36">
        <v>2</v>
      </c>
      <c r="H16" s="36">
        <v>2</v>
      </c>
      <c r="I16" s="33"/>
    </row>
    <row r="17" spans="1:9" x14ac:dyDescent="0.25">
      <c r="A17" s="33">
        <v>11</v>
      </c>
      <c r="B17" s="38">
        <v>33831809</v>
      </c>
      <c r="C17" s="50" t="str">
        <f>UPPER('[1]2DO AÑO'!C24)</f>
        <v>CASTRO ROCA ISABELLA SOFIA</v>
      </c>
      <c r="D17" s="50"/>
      <c r="E17" s="50"/>
      <c r="F17" s="50"/>
      <c r="G17" s="36">
        <v>2</v>
      </c>
      <c r="H17" s="36">
        <v>2</v>
      </c>
      <c r="I17" s="33"/>
    </row>
    <row r="18" spans="1:9" x14ac:dyDescent="0.25">
      <c r="A18" s="33">
        <v>12</v>
      </c>
      <c r="B18" s="38">
        <v>33832075</v>
      </c>
      <c r="C18" s="50" t="str">
        <f>UPPER('[1]2DO AÑO'!C25)</f>
        <v xml:space="preserve">CASTRO ROCA ANA LUCIA </v>
      </c>
      <c r="D18" s="50"/>
      <c r="E18" s="50"/>
      <c r="F18" s="50"/>
      <c r="G18" s="36">
        <v>2</v>
      </c>
      <c r="H18" s="36">
        <v>2</v>
      </c>
      <c r="I18" s="33"/>
    </row>
    <row r="19" spans="1:9" x14ac:dyDescent="0.25">
      <c r="A19" s="33">
        <v>13</v>
      </c>
      <c r="B19" s="38">
        <v>33832076</v>
      </c>
      <c r="C19" s="50" t="str">
        <f>UPPER('[1]2DO AÑO'!C26)</f>
        <v>CANALES MORENO FERNANDO ANTONIO</v>
      </c>
      <c r="D19" s="50"/>
      <c r="E19" s="50"/>
      <c r="F19" s="50"/>
      <c r="G19" s="36">
        <v>2</v>
      </c>
      <c r="H19" s="36">
        <v>2</v>
      </c>
      <c r="I19" s="33"/>
    </row>
    <row r="20" spans="1:9" x14ac:dyDescent="0.25">
      <c r="A20" s="33">
        <v>14</v>
      </c>
      <c r="B20" s="38">
        <v>33835030</v>
      </c>
      <c r="C20" s="50" t="str">
        <f>UPPER('[1]2DO AÑO'!C27)</f>
        <v>QUIJADA HENRIQUEZ JOSE ANDRES</v>
      </c>
      <c r="D20" s="50"/>
      <c r="E20" s="50"/>
      <c r="F20" s="50"/>
      <c r="G20" s="36">
        <v>2</v>
      </c>
      <c r="H20" s="36">
        <v>2</v>
      </c>
      <c r="I20" s="33"/>
    </row>
    <row r="21" spans="1:9" x14ac:dyDescent="0.25">
      <c r="A21" s="33">
        <v>15</v>
      </c>
      <c r="B21" s="38">
        <v>34099947</v>
      </c>
      <c r="C21" s="50" t="str">
        <f>UPPER('[1]2DO AÑO'!C28)</f>
        <v>GRATEROL DIAZ NATHALIA  VALENTINA</v>
      </c>
      <c r="D21" s="50"/>
      <c r="E21" s="50"/>
      <c r="F21" s="50"/>
      <c r="G21" s="36">
        <v>2</v>
      </c>
      <c r="H21" s="36">
        <v>2</v>
      </c>
      <c r="I21" s="33"/>
    </row>
    <row r="22" spans="1:9" x14ac:dyDescent="0.25">
      <c r="A22" s="33">
        <v>16</v>
      </c>
      <c r="B22" s="38">
        <v>34101474</v>
      </c>
      <c r="C22" s="50" t="str">
        <f>UPPER('[1]2DO AÑO'!C29)</f>
        <v>RONDON GARCIA GENESIS GABRIELA</v>
      </c>
      <c r="D22" s="50"/>
      <c r="E22" s="50"/>
      <c r="F22" s="50"/>
      <c r="G22" s="36">
        <v>2</v>
      </c>
      <c r="H22" s="36">
        <v>2</v>
      </c>
      <c r="I22" s="33"/>
    </row>
    <row r="23" spans="1:9" x14ac:dyDescent="0.25">
      <c r="A23" s="33">
        <v>17</v>
      </c>
      <c r="B23" s="38">
        <v>34102909</v>
      </c>
      <c r="C23" s="50" t="str">
        <f>UPPER('[1]2DO AÑO'!C30)</f>
        <v>NAVA YEGUEZ DANA VALENTINA</v>
      </c>
      <c r="D23" s="50"/>
      <c r="E23" s="50"/>
      <c r="F23" s="50"/>
      <c r="G23" s="36">
        <v>2</v>
      </c>
      <c r="H23" s="36">
        <v>2</v>
      </c>
      <c r="I23" s="33"/>
    </row>
    <row r="24" spans="1:9" x14ac:dyDescent="0.25">
      <c r="A24" s="33">
        <v>18</v>
      </c>
      <c r="B24" s="38">
        <v>34358679</v>
      </c>
      <c r="C24" s="50" t="str">
        <f>UPPER('[1]2DO AÑO'!C31)</f>
        <v>CABRAL SOSA KEVIN EDUARDO</v>
      </c>
      <c r="D24" s="50"/>
      <c r="E24" s="50"/>
      <c r="F24" s="50"/>
      <c r="G24" s="36">
        <v>2</v>
      </c>
      <c r="H24" s="36">
        <v>2</v>
      </c>
      <c r="I24" s="33"/>
    </row>
    <row r="25" spans="1:9" x14ac:dyDescent="0.25">
      <c r="A25" s="33">
        <v>19</v>
      </c>
      <c r="B25" s="38">
        <v>34622496</v>
      </c>
      <c r="C25" s="50" t="str">
        <f>UPPER('[1]2DO AÑO'!C32)</f>
        <v>GONZÁLEZ BIDEAN DAVID ALEJANDRO</v>
      </c>
      <c r="D25" s="50"/>
      <c r="E25" s="50"/>
      <c r="F25" s="50"/>
      <c r="G25" s="36">
        <v>2</v>
      </c>
      <c r="H25" s="36">
        <v>2</v>
      </c>
      <c r="I25" s="33"/>
    </row>
    <row r="26" spans="1:9" x14ac:dyDescent="0.25">
      <c r="A26" s="33">
        <v>20</v>
      </c>
      <c r="B26" s="39">
        <v>34763916</v>
      </c>
      <c r="C26" s="50" t="str">
        <f>UPPER('[1]2DO AÑO'!C33)</f>
        <v>SILVA LÓPEZ CHRISTIAN ALEXEI MIGUEL</v>
      </c>
      <c r="D26" s="50"/>
      <c r="E26" s="50"/>
      <c r="F26" s="50"/>
      <c r="G26" s="36">
        <v>2</v>
      </c>
      <c r="H26" s="36">
        <v>2</v>
      </c>
      <c r="I26" s="33"/>
    </row>
    <row r="27" spans="1:9" x14ac:dyDescent="0.25">
      <c r="A27" s="33">
        <v>21</v>
      </c>
      <c r="B27" s="39">
        <v>34797063</v>
      </c>
      <c r="C27" s="50" t="str">
        <f>UPPER('[1]2DO AÑO'!C34)</f>
        <v xml:space="preserve">LOAIZA NAVARRO CIRANGELI ROCEL </v>
      </c>
      <c r="D27" s="50"/>
      <c r="E27" s="50"/>
      <c r="F27" s="50"/>
      <c r="G27" s="36">
        <v>2</v>
      </c>
      <c r="H27" s="36">
        <v>2</v>
      </c>
      <c r="I27" s="33"/>
    </row>
    <row r="28" spans="1:9" x14ac:dyDescent="0.25">
      <c r="A28" s="33">
        <v>22</v>
      </c>
      <c r="B28" s="39">
        <v>35004909</v>
      </c>
      <c r="C28" s="50" t="str">
        <f>UPPER('[1]2DO AÑO'!C35)</f>
        <v>VASQUEZ GARCIA ANGHELYN SOFIA</v>
      </c>
      <c r="D28" s="50"/>
      <c r="E28" s="50"/>
      <c r="F28" s="50"/>
      <c r="G28" s="36">
        <v>2</v>
      </c>
      <c r="H28" s="36">
        <v>2</v>
      </c>
      <c r="I28" s="33"/>
    </row>
    <row r="29" spans="1:9" x14ac:dyDescent="0.25">
      <c r="A29" s="33">
        <v>23</v>
      </c>
      <c r="B29" s="39" t="s">
        <v>36</v>
      </c>
      <c r="C29" s="50" t="str">
        <f>UPPER('[1]2DO AÑO'!C36)</f>
        <v>ZAPATA CARABALLO VALERIA VALENTINA</v>
      </c>
      <c r="D29" s="50"/>
      <c r="E29" s="50"/>
      <c r="F29" s="50"/>
      <c r="G29" s="36">
        <v>1</v>
      </c>
      <c r="H29" s="36">
        <v>2</v>
      </c>
      <c r="I29" s="33"/>
    </row>
    <row r="30" spans="1:9" x14ac:dyDescent="0.25">
      <c r="A30" s="33">
        <v>24</v>
      </c>
      <c r="B30" s="37" t="s">
        <v>36</v>
      </c>
      <c r="C30" s="50" t="str">
        <f>UPPER('[1]2DO AÑO'!C37)</f>
        <v>SOUSA YIBININ MICHELL VALENTINA</v>
      </c>
      <c r="D30" s="50"/>
      <c r="E30" s="50"/>
      <c r="F30" s="50"/>
      <c r="G30" s="36">
        <v>2</v>
      </c>
      <c r="H30" s="36">
        <v>2</v>
      </c>
      <c r="I30" s="33"/>
    </row>
  </sheetData>
  <mergeCells count="25">
    <mergeCell ref="C6:F6"/>
    <mergeCell ref="C7:F7"/>
    <mergeCell ref="C8:F8"/>
    <mergeCell ref="C10:F10"/>
    <mergeCell ref="C9:F9"/>
    <mergeCell ref="C11:F11"/>
    <mergeCell ref="C12:F12"/>
    <mergeCell ref="C17:F17"/>
    <mergeCell ref="C16:F16"/>
    <mergeCell ref="C15:F15"/>
    <mergeCell ref="C14:F14"/>
    <mergeCell ref="C13:F13"/>
    <mergeCell ref="C18:F18"/>
    <mergeCell ref="C19:F19"/>
    <mergeCell ref="C20:F20"/>
    <mergeCell ref="C21:F21"/>
    <mergeCell ref="C22:F22"/>
    <mergeCell ref="C28:F28"/>
    <mergeCell ref="C29:F29"/>
    <mergeCell ref="C30:F30"/>
    <mergeCell ref="C23:F23"/>
    <mergeCell ref="C24:F24"/>
    <mergeCell ref="C25:F25"/>
    <mergeCell ref="C26:F26"/>
    <mergeCell ref="C27:F27"/>
  </mergeCells>
  <conditionalFormatting sqref="I7 G7:H30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F7" location="LILIAN!Área_de_impresión" display="LILIAN!Área_de_impresión"/>
    <hyperlink ref="C8:F8" location="MIGUEL!Área_de_impresión" display="MIGUEL!Área_de_impresión"/>
    <hyperlink ref="C9:F9" location="SAMUEL!Área_de_impresión" display="SAMUEL!Área_de_impresión"/>
    <hyperlink ref="C10:F10" location="'JOSE LUIS'!Área_de_impresión" display="'JOSE LUIS'!Área_de_impresión"/>
    <hyperlink ref="C11:F11" location="'JOSE CARLOS'!Área_de_impresión" display="'JOSE CARLOS'!Área_de_impresión"/>
    <hyperlink ref="C12:F12" location="CESAR!Área_de_impresión" display="CESAR!Área_de_impresión"/>
    <hyperlink ref="C13:F13" location="MARIANGELIS!Área_de_impresión" display="MARIANGELIS!Área_de_impresión"/>
    <hyperlink ref="C14:F14" location="DAYMELKIS!Área_de_impresión" display="DAYMELKIS!Área_de_impresión"/>
    <hyperlink ref="C15:F15" location="ANTONELLA!Área_de_impresión" display="ANTONELLA!Área_de_impresión"/>
    <hyperlink ref="C16:F16" location="FRANK!Área_de_impresión" display="FRANK!Área_de_impresión"/>
    <hyperlink ref="C17:F17" location="SOFIA!Área_de_impresión" display="SOFIA!Área_de_impresión"/>
    <hyperlink ref="C18:F18" location="ISABELA!Área_de_impresión" display="ISABELA!Área_de_impresión"/>
    <hyperlink ref="C19:F19" location="ANA!Área_de_impresión" display="ANA!Área_de_impresión"/>
    <hyperlink ref="C20:F20" location="FERNANDO!Área_de_impresión" display="FERNANDO!Área_de_impresión"/>
    <hyperlink ref="C21:F21" location="'JOSE A'!Área_de_impresión" display="'JOSE A'!Área_de_impresión"/>
    <hyperlink ref="C22:F22" location="GENESIS!Área_de_impresión" display="GENESIS!Área_de_impresión"/>
    <hyperlink ref="C23:F23" location="DANA!Área_de_impresión" display="DANA!Área_de_impresión"/>
    <hyperlink ref="C24:F24" location="KEVIN!Área_de_impresión" display="KEVIN!Área_de_impresión"/>
    <hyperlink ref="C25:F25" location="DAVID!Área_de_impresión" display="DAVID!Área_de_impresión"/>
    <hyperlink ref="C26:F26" location="CHRISTIAN!Área_de_impresión" display="CHRISTIAN!Área_de_impresión"/>
    <hyperlink ref="C27:F27" location="CIRANGELI!Área_de_impresión" display="CIRANGELI!Área_de_impresión"/>
    <hyperlink ref="C28:F28" location="ANGHELIN!Área_de_impresión" display="ANGHELIN!Área_de_impresión"/>
    <hyperlink ref="C30:F30" location="VALERIA!Área_de_impresión" display="VALERIA!Área_de_impresión"/>
    <hyperlink ref="C29:F29" location="'GARCIA JHONATAN'!Área_de_impresión" display="'GARCIA JHONATAN'!Área_de_impresió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zoomScaleNormal="100" workbookViewId="0">
      <selection activeCell="C21" sqref="C21:I21"/>
    </sheetView>
  </sheetViews>
  <sheetFormatPr baseColWidth="10" defaultRowHeight="15" x14ac:dyDescent="0.25"/>
  <cols>
    <col min="1" max="5" width="4.85546875" customWidth="1"/>
    <col min="6" max="6" width="6.140625" customWidth="1"/>
    <col min="7" max="8" width="4.85546875" customWidth="1"/>
    <col min="9" max="9" width="4.85546875" style="1" customWidth="1"/>
    <col min="10" max="16" width="5.28515625" customWidth="1"/>
    <col min="17" max="17" width="5.28515625" style="1" customWidth="1"/>
    <col min="18" max="19" width="4.85546875" customWidth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8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s="1" customFormat="1" ht="21" customHeight="1" x14ac:dyDescent="0.25">
      <c r="A11" s="18"/>
      <c r="B11" s="3" t="s">
        <v>1</v>
      </c>
      <c r="C11" s="3"/>
      <c r="D11" s="3"/>
      <c r="E11" s="3"/>
      <c r="F11" s="3"/>
      <c r="G11" s="64" t="s">
        <v>46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33581259</v>
      </c>
      <c r="Q11" s="64"/>
      <c r="R11" s="64"/>
      <c r="S11" s="20"/>
      <c r="T11" s="111"/>
      <c r="U11" s="111"/>
      <c r="V11" s="111"/>
      <c r="W11" s="111"/>
    </row>
    <row r="12" spans="1:23" s="1" customFormat="1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s="1" customFormat="1" ht="21" customHeight="1" x14ac:dyDescent="0.25">
      <c r="A13" s="18"/>
      <c r="B13" s="4" t="s">
        <v>4</v>
      </c>
      <c r="C13" s="3"/>
      <c r="D13" s="5"/>
      <c r="E13" s="5"/>
      <c r="F13" s="5"/>
      <c r="G13" s="89">
        <v>40322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6" t="s">
        <v>27</v>
      </c>
      <c r="S13" s="20"/>
      <c r="T13" s="47"/>
      <c r="U13" s="47"/>
      <c r="V13" s="47"/>
      <c r="W13" s="47"/>
    </row>
    <row r="14" spans="1:23" s="1" customFormat="1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47</v>
      </c>
      <c r="L14" s="64"/>
      <c r="M14" s="64"/>
      <c r="N14" s="64"/>
      <c r="O14" s="64"/>
      <c r="P14" s="64"/>
      <c r="Q14" s="64"/>
      <c r="R14" s="6"/>
      <c r="S14" s="22"/>
    </row>
    <row r="15" spans="1:23" ht="21" customHeight="1" x14ac:dyDescent="0.25">
      <c r="A15" s="18"/>
      <c r="B15" s="100" t="s">
        <v>9</v>
      </c>
      <c r="C15" s="100"/>
      <c r="D15" s="100"/>
      <c r="E15" s="100"/>
      <c r="F15" s="100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14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13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15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12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10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14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13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59">
        <v>12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s="1" customFormat="1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13.5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s="1" customFormat="1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13"/>
      <c r="U29" s="13"/>
      <c r="V29" s="13"/>
      <c r="W29" s="13"/>
    </row>
    <row r="30" spans="1:23" ht="23.25" customHeight="1" thickTop="1" x14ac:dyDescent="0.25">
      <c r="A30" s="18"/>
      <c r="B30" s="2"/>
      <c r="C30" s="84" t="s">
        <v>25</v>
      </c>
      <c r="D30" s="85"/>
      <c r="E30" s="85"/>
      <c r="F30" s="85"/>
      <c r="G30" s="85"/>
      <c r="H30" s="85"/>
      <c r="I30" s="86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s="1" customFormat="1" ht="23.25" customHeight="1" thickBot="1" x14ac:dyDescent="0.3">
      <c r="A31" s="18"/>
      <c r="B31" s="2"/>
      <c r="C31" s="69" t="s">
        <v>26</v>
      </c>
      <c r="D31" s="70"/>
      <c r="E31" s="70"/>
      <c r="F31" s="70"/>
      <c r="G31" s="70"/>
      <c r="H31" s="70"/>
      <c r="I31" s="71"/>
      <c r="J31" s="135">
        <v>18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s="1" customFormat="1" ht="30.75" customHeight="1" thickTop="1" x14ac:dyDescent="0.25">
      <c r="A32" s="18"/>
      <c r="B32" s="2"/>
      <c r="C32" s="2" t="s">
        <v>21</v>
      </c>
      <c r="D32" s="2"/>
      <c r="E32" s="2"/>
      <c r="F32" s="2"/>
      <c r="G32" s="68"/>
      <c r="H32" s="68"/>
      <c r="I32" s="68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T32:U32"/>
    <mergeCell ref="V32:W32"/>
    <mergeCell ref="J31:M31"/>
    <mergeCell ref="N31:Q31"/>
    <mergeCell ref="O32:Q32"/>
    <mergeCell ref="T31:U31"/>
    <mergeCell ref="V31:W31"/>
    <mergeCell ref="J30:M30"/>
    <mergeCell ref="N30:Q30"/>
    <mergeCell ref="C29:I29"/>
    <mergeCell ref="J29:M29"/>
    <mergeCell ref="N29:Q29"/>
    <mergeCell ref="T28:U28"/>
    <mergeCell ref="V28:W28"/>
    <mergeCell ref="T30:U30"/>
    <mergeCell ref="V30:W30"/>
    <mergeCell ref="V22:W22"/>
    <mergeCell ref="T23:U23"/>
    <mergeCell ref="V23:W23"/>
    <mergeCell ref="T24:U24"/>
    <mergeCell ref="V24:W24"/>
    <mergeCell ref="T26:U26"/>
    <mergeCell ref="T22:U22"/>
    <mergeCell ref="V26:W26"/>
    <mergeCell ref="T25:W25"/>
    <mergeCell ref="N21:Q21"/>
    <mergeCell ref="V17:W17"/>
    <mergeCell ref="T18:U18"/>
    <mergeCell ref="V18:W18"/>
    <mergeCell ref="J17:Q17"/>
    <mergeCell ref="J18:M18"/>
    <mergeCell ref="N18:Q18"/>
    <mergeCell ref="T20:U20"/>
    <mergeCell ref="V20:W20"/>
    <mergeCell ref="T21:U21"/>
    <mergeCell ref="J20:M20"/>
    <mergeCell ref="V21:W21"/>
    <mergeCell ref="T19:U19"/>
    <mergeCell ref="V19:W19"/>
    <mergeCell ref="J19:M19"/>
    <mergeCell ref="A5:S5"/>
    <mergeCell ref="A6:S6"/>
    <mergeCell ref="G11:L11"/>
    <mergeCell ref="P11:R11"/>
    <mergeCell ref="T16:U16"/>
    <mergeCell ref="G16:H16"/>
    <mergeCell ref="K14:Q14"/>
    <mergeCell ref="T8:W8"/>
    <mergeCell ref="T9:T10"/>
    <mergeCell ref="U9:V10"/>
    <mergeCell ref="T11:W11"/>
    <mergeCell ref="T12:U12"/>
    <mergeCell ref="V16:W16"/>
    <mergeCell ref="V12:W12"/>
    <mergeCell ref="G12:L12"/>
    <mergeCell ref="P12:R12"/>
    <mergeCell ref="T7:W7"/>
    <mergeCell ref="N13:O13"/>
    <mergeCell ref="G13:L13"/>
    <mergeCell ref="M15:O15"/>
    <mergeCell ref="N20:Q20"/>
    <mergeCell ref="C17:I18"/>
    <mergeCell ref="C19:I19"/>
    <mergeCell ref="C20:I20"/>
    <mergeCell ref="B15:F15"/>
    <mergeCell ref="G32:I32"/>
    <mergeCell ref="C31:I31"/>
    <mergeCell ref="C27:I27"/>
    <mergeCell ref="C21:I21"/>
    <mergeCell ref="C23:I23"/>
    <mergeCell ref="C22:I22"/>
    <mergeCell ref="C26:I26"/>
    <mergeCell ref="C24:I24"/>
    <mergeCell ref="C25:I25"/>
    <mergeCell ref="C30:I30"/>
    <mergeCell ref="N22:Q22"/>
    <mergeCell ref="J21:M21"/>
    <mergeCell ref="J27:M27"/>
    <mergeCell ref="N27:Q27"/>
    <mergeCell ref="G15:L15"/>
    <mergeCell ref="N23:Q23"/>
    <mergeCell ref="J22:M22"/>
    <mergeCell ref="J23:M23"/>
    <mergeCell ref="N19:Q19"/>
    <mergeCell ref="P15:R15"/>
    <mergeCell ref="N26:Q26"/>
    <mergeCell ref="N24:Q24"/>
    <mergeCell ref="J25:M25"/>
    <mergeCell ref="J26:M26"/>
    <mergeCell ref="N25:Q25"/>
    <mergeCell ref="J24:M24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showGridLines="0" view="pageLayout" topLeftCell="A10" zoomScale="90" zoomScaleNormal="100" zoomScalePageLayoutView="90" workbookViewId="0">
      <selection activeCell="C21" sqref="C21:I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49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33682052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12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40322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9" t="s">
        <v>27</v>
      </c>
      <c r="S13" s="20"/>
      <c r="T13" s="47"/>
      <c r="U13" s="47"/>
      <c r="V13" s="47"/>
      <c r="W13" s="47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47</v>
      </c>
      <c r="L14" s="64"/>
      <c r="M14" s="64"/>
      <c r="N14" s="64"/>
      <c r="O14" s="64"/>
      <c r="P14" s="64"/>
      <c r="Q14" s="64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12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15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12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10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14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12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139" t="s">
        <v>16</v>
      </c>
      <c r="D26" s="140"/>
      <c r="E26" s="140"/>
      <c r="F26" s="140"/>
      <c r="G26" s="140"/>
      <c r="H26" s="140"/>
      <c r="I26" s="141"/>
      <c r="J26" s="59">
        <v>12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13.25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18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Q14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view="pageLayout" topLeftCell="A3" zoomScaleNormal="100" workbookViewId="0">
      <selection activeCell="N24" sqref="N24:Q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51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33832037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13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40653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6" t="s">
        <v>27</v>
      </c>
      <c r="S13" s="20"/>
      <c r="T13" s="47"/>
      <c r="U13" s="47"/>
      <c r="V13" s="47"/>
      <c r="W13" s="47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50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16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17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13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18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17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13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139" t="s">
        <v>16</v>
      </c>
      <c r="D26" s="140"/>
      <c r="E26" s="140"/>
      <c r="F26" s="140"/>
      <c r="G26" s="140"/>
      <c r="H26" s="140"/>
      <c r="I26" s="141"/>
      <c r="J26" s="149">
        <v>15</v>
      </c>
      <c r="K26" s="149"/>
      <c r="L26" s="149"/>
      <c r="M26" s="150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16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20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10" zoomScaleNormal="100" workbookViewId="0">
      <selection activeCell="C21" sqref="C21:F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52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33832213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 t="s">
        <v>53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6" t="s">
        <v>27</v>
      </c>
      <c r="S13" s="20"/>
      <c r="T13" s="47"/>
      <c r="U13" s="47"/>
      <c r="V13" s="47"/>
      <c r="W13" s="47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54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16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16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17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14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19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16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81" t="s">
        <v>16</v>
      </c>
      <c r="D26" s="82"/>
      <c r="E26" s="82"/>
      <c r="F26" s="82"/>
      <c r="G26" s="82"/>
      <c r="H26" s="82"/>
      <c r="I26" s="83"/>
      <c r="J26" s="59">
        <v>18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16.875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/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T24:U24"/>
    <mergeCell ref="V24:W24"/>
    <mergeCell ref="C23:I23"/>
    <mergeCell ref="J23:M23"/>
    <mergeCell ref="N23:Q23"/>
    <mergeCell ref="T23:U23"/>
    <mergeCell ref="V23:W23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A5:S5"/>
    <mergeCell ref="A6:S6"/>
    <mergeCell ref="G11:L11"/>
    <mergeCell ref="G12:L12"/>
    <mergeCell ref="G13:L13"/>
    <mergeCell ref="N13:O13"/>
    <mergeCell ref="K14:O14"/>
    <mergeCell ref="C27:I27"/>
    <mergeCell ref="J27:M27"/>
    <mergeCell ref="N27:Q27"/>
    <mergeCell ref="G15:L15"/>
    <mergeCell ref="M15:O15"/>
    <mergeCell ref="G16:H16"/>
    <mergeCell ref="C20:I20"/>
    <mergeCell ref="J20:M20"/>
    <mergeCell ref="N20:Q20"/>
    <mergeCell ref="C22:I22"/>
    <mergeCell ref="J22:M22"/>
    <mergeCell ref="N22:Q22"/>
    <mergeCell ref="C24:I24"/>
    <mergeCell ref="J24:M24"/>
    <mergeCell ref="N24:Q24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7" zoomScaleNormal="100" workbookViewId="0">
      <selection activeCell="C21" sqref="C21:I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55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33832760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40876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6" t="s">
        <v>27</v>
      </c>
      <c r="S13" s="20"/>
      <c r="T13" s="47"/>
      <c r="U13" s="47"/>
      <c r="V13" s="47"/>
      <c r="W13" s="47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56</v>
      </c>
      <c r="L14" s="64"/>
      <c r="M14" s="64"/>
      <c r="N14" s="64"/>
      <c r="O14" s="64"/>
      <c r="P14" s="64"/>
      <c r="Q14" s="64"/>
      <c r="R14" s="64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14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17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13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18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12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16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14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139" t="s">
        <v>16</v>
      </c>
      <c r="D26" s="140"/>
      <c r="E26" s="140"/>
      <c r="F26" s="140"/>
      <c r="G26" s="140"/>
      <c r="H26" s="140"/>
      <c r="I26" s="141"/>
      <c r="J26" s="59">
        <v>12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14.5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5" zoomScaleNormal="100" workbookViewId="0">
      <selection activeCell="C21" sqref="C21:I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57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33833567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 t="s">
        <v>58</v>
      </c>
      <c r="H13" s="57"/>
      <c r="I13" s="57"/>
      <c r="J13" s="57"/>
      <c r="K13" s="57"/>
      <c r="L13" s="57"/>
      <c r="M13" s="3" t="s">
        <v>5</v>
      </c>
      <c r="N13" s="88" t="s">
        <v>43</v>
      </c>
      <c r="O13" s="88"/>
      <c r="P13" s="7" t="s">
        <v>6</v>
      </c>
      <c r="Q13" s="7"/>
      <c r="R13" s="43" t="s">
        <v>27</v>
      </c>
      <c r="S13" s="20"/>
      <c r="T13" s="31"/>
      <c r="U13" s="31"/>
      <c r="V13" s="31"/>
      <c r="W13" s="31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59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18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18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18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20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19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18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18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59">
        <v>18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18.375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18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8" zoomScaleNormal="100" workbookViewId="0">
      <selection activeCell="C21" sqref="C21:F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60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33835014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40891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9" t="s">
        <v>27</v>
      </c>
      <c r="S13" s="24"/>
      <c r="T13" s="48"/>
      <c r="U13" s="48"/>
      <c r="V13" s="48"/>
      <c r="W13" s="48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61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15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15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13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13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15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14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51">
        <v>12</v>
      </c>
      <c r="K26" s="151"/>
      <c r="L26" s="151"/>
      <c r="M26" s="152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14.5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G32:I32"/>
    <mergeCell ref="O32:Q32"/>
    <mergeCell ref="T32:U32"/>
    <mergeCell ref="V32:W32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31:I31"/>
    <mergeCell ref="J31:M31"/>
    <mergeCell ref="T25:W25"/>
    <mergeCell ref="C26:I26"/>
    <mergeCell ref="J26:M26"/>
    <mergeCell ref="N26:Q26"/>
    <mergeCell ref="T26:U26"/>
    <mergeCell ref="V26:W26"/>
    <mergeCell ref="N31:Q31"/>
    <mergeCell ref="T31:U31"/>
    <mergeCell ref="V31:W31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5:I25"/>
    <mergeCell ref="J25:M25"/>
    <mergeCell ref="N25:Q25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O14"/>
    <mergeCell ref="C27:I27"/>
    <mergeCell ref="J27:M27"/>
    <mergeCell ref="N27:Q27"/>
    <mergeCell ref="G15:L15"/>
    <mergeCell ref="M15:O15"/>
    <mergeCell ref="G16:H16"/>
    <mergeCell ref="C20:I20"/>
    <mergeCell ref="J20:M20"/>
    <mergeCell ref="N20:Q20"/>
    <mergeCell ref="C22:I22"/>
    <mergeCell ref="J22:M22"/>
    <mergeCell ref="N22:Q22"/>
    <mergeCell ref="A5:S5"/>
    <mergeCell ref="A6:S6"/>
    <mergeCell ref="G11:L11"/>
    <mergeCell ref="G12:L12"/>
    <mergeCell ref="G13:L13"/>
    <mergeCell ref="N13:O13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8" zoomScaleNormal="100" workbookViewId="0">
      <selection activeCell="C21" sqref="C21:I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62</v>
      </c>
      <c r="H11" s="64"/>
      <c r="I11" s="64"/>
      <c r="J11" s="64"/>
      <c r="K11" s="64"/>
      <c r="L11" s="64"/>
      <c r="M11" s="64"/>
      <c r="N11" s="3" t="s">
        <v>2</v>
      </c>
      <c r="O11" s="3"/>
      <c r="P11" s="64">
        <v>33837467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64" t="s">
        <v>28</v>
      </c>
      <c r="H12" s="64"/>
      <c r="I12" s="64"/>
      <c r="J12" s="64"/>
      <c r="K12" s="64"/>
      <c r="L12" s="64"/>
      <c r="M12" s="3"/>
      <c r="N12" s="3" t="s">
        <v>10</v>
      </c>
      <c r="O12" s="3"/>
      <c r="P12" s="57">
        <v>16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39981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9" t="s">
        <v>27</v>
      </c>
      <c r="S13" s="20"/>
      <c r="T13" s="48"/>
      <c r="U13" s="48"/>
      <c r="V13" s="48"/>
      <c r="W13" s="48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63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53">
        <v>13</v>
      </c>
      <c r="K19" s="154"/>
      <c r="L19" s="154"/>
      <c r="M19" s="15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156">
        <v>15</v>
      </c>
      <c r="K20" s="157"/>
      <c r="L20" s="157"/>
      <c r="M20" s="1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156">
        <v>12</v>
      </c>
      <c r="K21" s="157"/>
      <c r="L21" s="157"/>
      <c r="M21" s="1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156">
        <v>18</v>
      </c>
      <c r="K22" s="157"/>
      <c r="L22" s="157"/>
      <c r="M22" s="1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156">
        <v>11</v>
      </c>
      <c r="K23" s="157"/>
      <c r="L23" s="157"/>
      <c r="M23" s="1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156">
        <v>11</v>
      </c>
      <c r="K24" s="157"/>
      <c r="L24" s="157"/>
      <c r="M24" s="1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156">
        <v>13</v>
      </c>
      <c r="K25" s="157"/>
      <c r="L25" s="157"/>
      <c r="M25" s="1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59">
        <v>18</v>
      </c>
      <c r="K26" s="159"/>
      <c r="L26" s="159"/>
      <c r="M26" s="160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13.875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C30:I30"/>
    <mergeCell ref="T28:U28"/>
    <mergeCell ref="V28:W28"/>
    <mergeCell ref="C29:I29"/>
    <mergeCell ref="J29:M29"/>
    <mergeCell ref="N29:Q29"/>
    <mergeCell ref="J30:M30"/>
    <mergeCell ref="N30:Q30"/>
    <mergeCell ref="T30:U30"/>
    <mergeCell ref="V30:W30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5:W25"/>
    <mergeCell ref="C26:I26"/>
    <mergeCell ref="J26:M26"/>
    <mergeCell ref="N26:Q26"/>
    <mergeCell ref="T26:U26"/>
    <mergeCell ref="V26:W26"/>
    <mergeCell ref="C27:I27"/>
    <mergeCell ref="J27:M27"/>
    <mergeCell ref="N27:Q27"/>
    <mergeCell ref="C23:I23"/>
    <mergeCell ref="J23:M23"/>
    <mergeCell ref="N23:Q23"/>
    <mergeCell ref="C25:I25"/>
    <mergeCell ref="J25:M25"/>
    <mergeCell ref="N25:Q25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C20:I20"/>
    <mergeCell ref="J20:M20"/>
    <mergeCell ref="N20:Q20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6:H16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G15:L15"/>
    <mergeCell ref="A5:S5"/>
    <mergeCell ref="A6:S6"/>
    <mergeCell ref="G12:L12"/>
    <mergeCell ref="G13:L13"/>
    <mergeCell ref="N13:O13"/>
    <mergeCell ref="K14:O14"/>
    <mergeCell ref="M15:O15"/>
    <mergeCell ref="G11:M11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7" zoomScaleNormal="100" workbookViewId="0">
      <selection activeCell="C21" sqref="C21:F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64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33841758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16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39582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9" t="s">
        <v>27</v>
      </c>
      <c r="S13" s="20"/>
      <c r="T13" s="48"/>
      <c r="U13" s="48"/>
      <c r="V13" s="48"/>
      <c r="W13" s="48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65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17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17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18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18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17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17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19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51">
        <v>18</v>
      </c>
      <c r="K26" s="151"/>
      <c r="L26" s="151"/>
      <c r="M26" s="152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17.625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11" zoomScaleNormal="100" workbookViewId="0">
      <selection activeCell="C21" sqref="C21:F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66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34101755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15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 t="s">
        <v>67</v>
      </c>
      <c r="H13" s="57"/>
      <c r="I13" s="57"/>
      <c r="J13" s="57"/>
      <c r="K13" s="57"/>
      <c r="L13" s="57"/>
      <c r="M13" s="3" t="s">
        <v>5</v>
      </c>
      <c r="N13" s="88" t="s">
        <v>43</v>
      </c>
      <c r="O13" s="88"/>
      <c r="P13" s="7" t="s">
        <v>6</v>
      </c>
      <c r="Q13" s="7"/>
      <c r="R13" s="43" t="s">
        <v>27</v>
      </c>
      <c r="S13" s="20"/>
      <c r="T13" s="31"/>
      <c r="U13" s="31"/>
      <c r="V13" s="31"/>
      <c r="W13" s="31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68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15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12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14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18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11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11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161"/>
      <c r="K25" s="162"/>
      <c r="L25" s="162"/>
      <c r="M25" s="163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64"/>
      <c r="K26" s="164"/>
      <c r="L26" s="164"/>
      <c r="M26" s="165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13.5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18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18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10" zoomScaleNormal="100" workbookViewId="0">
      <selection activeCell="C21" sqref="C21:F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69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34102376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40812</v>
      </c>
      <c r="H13" s="57"/>
      <c r="I13" s="57"/>
      <c r="J13" s="57"/>
      <c r="K13" s="57"/>
      <c r="L13" s="57"/>
      <c r="M13" s="3" t="s">
        <v>5</v>
      </c>
      <c r="N13" s="88" t="s">
        <v>43</v>
      </c>
      <c r="O13" s="88"/>
      <c r="P13" s="7" t="s">
        <v>6</v>
      </c>
      <c r="Q13" s="7"/>
      <c r="R13" s="43" t="s">
        <v>27</v>
      </c>
      <c r="S13" s="20"/>
      <c r="T13" s="31"/>
      <c r="U13" s="31"/>
      <c r="V13" s="31"/>
      <c r="W13" s="31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70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18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17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12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18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11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15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13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49">
        <v>12</v>
      </c>
      <c r="K26" s="149"/>
      <c r="L26" s="149"/>
      <c r="M26" s="150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14.5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/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view="pageLayout" topLeftCell="A7" zoomScaleNormal="100" workbookViewId="0">
      <selection activeCell="J21" sqref="J21:M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4"/>
      <c r="Q10" s="44"/>
      <c r="R10" s="44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148" t="s">
        <v>72</v>
      </c>
      <c r="H11" s="148"/>
      <c r="I11" s="148"/>
      <c r="J11" s="148"/>
      <c r="K11" s="148"/>
      <c r="L11" s="148"/>
      <c r="M11" s="3"/>
      <c r="N11" s="3" t="s">
        <v>2</v>
      </c>
      <c r="O11" s="3"/>
      <c r="P11" s="64">
        <v>34491842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14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 t="s">
        <v>73</v>
      </c>
      <c r="H13" s="57"/>
      <c r="I13" s="57"/>
      <c r="J13" s="57"/>
      <c r="K13" s="57"/>
      <c r="L13" s="57"/>
      <c r="M13" s="3" t="s">
        <v>5</v>
      </c>
      <c r="N13" s="88" t="s">
        <v>43</v>
      </c>
      <c r="O13" s="88"/>
      <c r="P13" s="7" t="s">
        <v>6</v>
      </c>
      <c r="Q13" s="7"/>
      <c r="R13" s="43" t="s">
        <v>27</v>
      </c>
      <c r="S13" s="20"/>
      <c r="T13" s="31"/>
      <c r="U13" s="31"/>
      <c r="V13" s="31"/>
      <c r="W13" s="31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74</v>
      </c>
      <c r="L14" s="64"/>
      <c r="M14" s="64"/>
      <c r="N14" s="64"/>
      <c r="O14" s="64"/>
      <c r="P14" s="64"/>
      <c r="Q14" s="64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 t="s">
        <v>71</v>
      </c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17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18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14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18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18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15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59">
        <v>19</v>
      </c>
      <c r="K26" s="57"/>
      <c r="L26" s="57"/>
      <c r="M26" s="58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149">
        <f>AVERAGE(J19:M26)</f>
        <v>17.25</v>
      </c>
      <c r="K27" s="149"/>
      <c r="L27" s="149"/>
      <c r="M27" s="150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20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Q14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</mergeCells>
  <printOptions horizontalCentered="1"/>
  <pageMargins left="0.39370078740157483" right="0.39370078740157483" top="0.59055118110236227" bottom="0.23622047244094491" header="0.31496062992125984" footer="0.31496062992125984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showWhiteSpace="0" view="pageLayout" zoomScaleNormal="100" workbookViewId="0">
      <selection activeCell="P12" sqref="P12:R1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9" width="4.85546875" style="1" customWidth="1"/>
    <col min="20" max="16384" width="11.42578125" style="1"/>
  </cols>
  <sheetData>
    <row r="1" spans="1:23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23" x14ac:dyDescent="0.2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9"/>
    </row>
    <row r="3" spans="1:23" x14ac:dyDescent="0.25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9"/>
    </row>
    <row r="4" spans="1:23" ht="7.5" customHeight="1" x14ac:dyDescent="0.25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9"/>
    </row>
    <row r="5" spans="1:23" ht="20.25" customHeight="1" x14ac:dyDescent="0.25">
      <c r="A5" s="101" t="s">
        <v>0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</row>
    <row r="6" spans="1:23" ht="18.75" customHeight="1" x14ac:dyDescent="0.25">
      <c r="A6" s="104" t="s">
        <v>77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2"/>
      <c r="U6" s="2"/>
      <c r="V6" s="2"/>
      <c r="W6" s="2"/>
    </row>
    <row r="7" spans="1:23" ht="15.75" customHeight="1" x14ac:dyDescent="0.25">
      <c r="A7" s="1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87"/>
      <c r="U7" s="87"/>
      <c r="V7" s="87"/>
      <c r="W7" s="87"/>
    </row>
    <row r="8" spans="1:23" ht="31.5" customHeight="1" x14ac:dyDescent="0.2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09"/>
      <c r="U8" s="109"/>
      <c r="V8" s="109"/>
      <c r="W8" s="109"/>
    </row>
    <row r="9" spans="1:23" ht="18" customHeight="1" x14ac:dyDescent="0.25">
      <c r="A9" s="1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10"/>
      <c r="U9" s="110"/>
      <c r="V9" s="110"/>
      <c r="W9" s="31"/>
    </row>
    <row r="10" spans="1:23" ht="3.75" customHeight="1" x14ac:dyDescent="0.25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10"/>
      <c r="U10" s="110"/>
      <c r="V10" s="110"/>
      <c r="W10" s="9"/>
    </row>
    <row r="11" spans="1:23" ht="21" customHeight="1" x14ac:dyDescent="0.25">
      <c r="A11" s="18"/>
      <c r="B11" s="3" t="s">
        <v>1</v>
      </c>
      <c r="C11" s="3"/>
      <c r="D11" s="3"/>
      <c r="E11" s="3"/>
      <c r="F11" s="3"/>
      <c r="G11" s="64" t="s">
        <v>75</v>
      </c>
      <c r="H11" s="64"/>
      <c r="I11" s="64"/>
      <c r="J11" s="64"/>
      <c r="K11" s="64"/>
      <c r="L11" s="64"/>
      <c r="M11" s="3"/>
      <c r="N11" s="3" t="s">
        <v>2</v>
      </c>
      <c r="O11" s="3"/>
      <c r="P11" s="64">
        <v>34623737</v>
      </c>
      <c r="Q11" s="64"/>
      <c r="R11" s="64"/>
      <c r="S11" s="20"/>
      <c r="T11" s="111"/>
      <c r="U11" s="111"/>
      <c r="V11" s="111"/>
      <c r="W11" s="111"/>
    </row>
    <row r="12" spans="1:23" ht="21" customHeight="1" x14ac:dyDescent="0.25">
      <c r="A12" s="18"/>
      <c r="B12" s="3" t="s">
        <v>3</v>
      </c>
      <c r="C12" s="3"/>
      <c r="D12" s="3"/>
      <c r="E12" s="3"/>
      <c r="F12" s="3"/>
      <c r="G12" s="57" t="s">
        <v>28</v>
      </c>
      <c r="H12" s="57"/>
      <c r="I12" s="57"/>
      <c r="J12" s="57"/>
      <c r="K12" s="57"/>
      <c r="L12" s="57"/>
      <c r="M12" s="3"/>
      <c r="N12" s="3" t="s">
        <v>10</v>
      </c>
      <c r="O12" s="3"/>
      <c r="P12" s="57">
        <v>13</v>
      </c>
      <c r="Q12" s="57"/>
      <c r="R12" s="57"/>
      <c r="S12" s="21"/>
      <c r="T12" s="110"/>
      <c r="U12" s="110"/>
      <c r="V12" s="110"/>
      <c r="W12" s="110"/>
    </row>
    <row r="13" spans="1:23" ht="21" customHeight="1" x14ac:dyDescent="0.25">
      <c r="A13" s="18"/>
      <c r="B13" s="4" t="s">
        <v>4</v>
      </c>
      <c r="C13" s="3"/>
      <c r="D13" s="5"/>
      <c r="E13" s="5"/>
      <c r="F13" s="5"/>
      <c r="G13" s="89">
        <v>40917</v>
      </c>
      <c r="H13" s="57"/>
      <c r="I13" s="57"/>
      <c r="J13" s="57"/>
      <c r="K13" s="57"/>
      <c r="L13" s="57"/>
      <c r="M13" s="3" t="s">
        <v>5</v>
      </c>
      <c r="N13" s="88" t="s">
        <v>48</v>
      </c>
      <c r="O13" s="88"/>
      <c r="P13" s="7" t="s">
        <v>6</v>
      </c>
      <c r="Q13" s="7"/>
      <c r="R13" s="49" t="s">
        <v>27</v>
      </c>
      <c r="S13" s="20"/>
      <c r="T13" s="48"/>
      <c r="U13" s="48"/>
      <c r="V13" s="48"/>
      <c r="W13" s="48"/>
    </row>
    <row r="14" spans="1:23" ht="21" customHeight="1" x14ac:dyDescent="0.25">
      <c r="A14" s="1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4" t="s">
        <v>76</v>
      </c>
      <c r="L14" s="64"/>
      <c r="M14" s="64"/>
      <c r="N14" s="64"/>
      <c r="O14" s="64"/>
      <c r="P14" s="6"/>
      <c r="Q14" s="6"/>
      <c r="R14" s="6"/>
      <c r="S14" s="22"/>
    </row>
    <row r="15" spans="1:23" ht="21" customHeight="1" x14ac:dyDescent="0.25">
      <c r="A15" s="18"/>
      <c r="B15" s="4" t="s">
        <v>9</v>
      </c>
      <c r="C15" s="4"/>
      <c r="D15" s="4"/>
      <c r="E15" s="4"/>
      <c r="F15" s="4"/>
      <c r="G15" s="64" t="s">
        <v>45</v>
      </c>
      <c r="H15" s="64"/>
      <c r="I15" s="64"/>
      <c r="J15" s="64"/>
      <c r="K15" s="64"/>
      <c r="L15" s="64"/>
      <c r="M15" s="90" t="s">
        <v>7</v>
      </c>
      <c r="N15" s="90"/>
      <c r="O15" s="90"/>
      <c r="P15" s="64" t="s">
        <v>44</v>
      </c>
      <c r="Q15" s="64"/>
      <c r="R15" s="64"/>
      <c r="S15" s="22"/>
    </row>
    <row r="16" spans="1:23" ht="29.25" customHeight="1" thickBot="1" x14ac:dyDescent="0.3">
      <c r="A16" s="23"/>
      <c r="B16" s="4"/>
      <c r="C16" s="4"/>
      <c r="D16" s="4"/>
      <c r="E16" s="4"/>
      <c r="F16" s="4"/>
      <c r="G16" s="108"/>
      <c r="H16" s="108"/>
      <c r="I16" s="32"/>
      <c r="J16" s="4"/>
      <c r="K16" s="4"/>
      <c r="L16" s="4"/>
      <c r="M16" s="5"/>
      <c r="N16" s="5"/>
      <c r="O16" s="5"/>
      <c r="P16" s="5"/>
      <c r="Q16" s="5"/>
      <c r="R16" s="5"/>
      <c r="S16" s="24"/>
      <c r="T16" s="107"/>
      <c r="U16" s="107"/>
      <c r="V16" s="111"/>
      <c r="W16" s="111"/>
    </row>
    <row r="17" spans="1:23" ht="31.5" customHeight="1" thickTop="1" thickBot="1" x14ac:dyDescent="0.3">
      <c r="A17" s="23"/>
      <c r="B17" s="3"/>
      <c r="C17" s="91" t="s">
        <v>11</v>
      </c>
      <c r="D17" s="92"/>
      <c r="E17" s="92"/>
      <c r="F17" s="92"/>
      <c r="G17" s="92"/>
      <c r="H17" s="92"/>
      <c r="I17" s="93"/>
      <c r="J17" s="112" t="s">
        <v>18</v>
      </c>
      <c r="K17" s="113"/>
      <c r="L17" s="113"/>
      <c r="M17" s="113"/>
      <c r="N17" s="113"/>
      <c r="O17" s="113"/>
      <c r="P17" s="113"/>
      <c r="Q17" s="114"/>
      <c r="R17" s="10"/>
      <c r="S17" s="25"/>
      <c r="T17" s="11"/>
      <c r="U17" s="11"/>
      <c r="V17" s="111"/>
      <c r="W17" s="111"/>
    </row>
    <row r="18" spans="1:23" ht="31.5" customHeight="1" thickTop="1" thickBot="1" x14ac:dyDescent="0.3">
      <c r="A18" s="23"/>
      <c r="B18" s="3"/>
      <c r="C18" s="94"/>
      <c r="D18" s="95"/>
      <c r="E18" s="95"/>
      <c r="F18" s="95"/>
      <c r="G18" s="95"/>
      <c r="H18" s="95"/>
      <c r="I18" s="96"/>
      <c r="J18" s="115" t="s">
        <v>19</v>
      </c>
      <c r="K18" s="116"/>
      <c r="L18" s="116"/>
      <c r="M18" s="117"/>
      <c r="N18" s="118" t="s">
        <v>20</v>
      </c>
      <c r="O18" s="118"/>
      <c r="P18" s="118"/>
      <c r="Q18" s="119"/>
      <c r="R18" s="5"/>
      <c r="S18" s="24"/>
      <c r="T18" s="107"/>
      <c r="U18" s="107"/>
      <c r="V18" s="111"/>
      <c r="W18" s="111"/>
    </row>
    <row r="19" spans="1:23" ht="23.25" customHeight="1" thickTop="1" x14ac:dyDescent="0.25">
      <c r="A19" s="18"/>
      <c r="B19" s="2"/>
      <c r="C19" s="97" t="s">
        <v>12</v>
      </c>
      <c r="D19" s="98"/>
      <c r="E19" s="98"/>
      <c r="F19" s="98"/>
      <c r="G19" s="98"/>
      <c r="H19" s="98"/>
      <c r="I19" s="99"/>
      <c r="J19" s="120">
        <v>13</v>
      </c>
      <c r="K19" s="64"/>
      <c r="L19" s="64"/>
      <c r="M19" s="65"/>
      <c r="N19" s="64"/>
      <c r="O19" s="64"/>
      <c r="P19" s="64"/>
      <c r="Q19" s="65"/>
      <c r="R19" s="2"/>
      <c r="S19" s="19"/>
      <c r="T19" s="107"/>
      <c r="U19" s="107"/>
      <c r="V19" s="111"/>
      <c r="W19" s="111"/>
    </row>
    <row r="20" spans="1:23" ht="23.25" customHeight="1" x14ac:dyDescent="0.25">
      <c r="A20" s="18"/>
      <c r="B20" s="2"/>
      <c r="C20" s="75" t="s">
        <v>13</v>
      </c>
      <c r="D20" s="76"/>
      <c r="E20" s="76"/>
      <c r="F20" s="76"/>
      <c r="G20" s="76"/>
      <c r="H20" s="76"/>
      <c r="I20" s="77"/>
      <c r="J20" s="59">
        <v>17</v>
      </c>
      <c r="K20" s="57"/>
      <c r="L20" s="57"/>
      <c r="M20" s="58"/>
      <c r="N20" s="57"/>
      <c r="O20" s="57"/>
      <c r="P20" s="57"/>
      <c r="Q20" s="58"/>
      <c r="R20" s="2"/>
      <c r="S20" s="19"/>
      <c r="T20" s="107"/>
      <c r="U20" s="107"/>
      <c r="V20" s="111"/>
      <c r="W20" s="111"/>
    </row>
    <row r="21" spans="1:23" ht="23.25" customHeight="1" x14ac:dyDescent="0.25">
      <c r="A21" s="18"/>
      <c r="B21" s="2"/>
      <c r="C21" s="75" t="s">
        <v>14</v>
      </c>
      <c r="D21" s="76"/>
      <c r="E21" s="76"/>
      <c r="F21" s="76"/>
      <c r="G21" s="76"/>
      <c r="H21" s="76"/>
      <c r="I21" s="77"/>
      <c r="J21" s="59">
        <v>14</v>
      </c>
      <c r="K21" s="57"/>
      <c r="L21" s="57"/>
      <c r="M21" s="58"/>
      <c r="N21" s="57"/>
      <c r="O21" s="57"/>
      <c r="P21" s="57"/>
      <c r="Q21" s="58"/>
      <c r="R21" s="2"/>
      <c r="S21" s="19"/>
      <c r="T21" s="107"/>
      <c r="U21" s="107"/>
      <c r="V21" s="111"/>
      <c r="W21" s="111"/>
    </row>
    <row r="22" spans="1:23" ht="23.25" customHeight="1" x14ac:dyDescent="0.25">
      <c r="A22" s="18"/>
      <c r="B22" s="2"/>
      <c r="C22" s="75" t="s">
        <v>15</v>
      </c>
      <c r="D22" s="76"/>
      <c r="E22" s="76"/>
      <c r="F22" s="76"/>
      <c r="G22" s="76"/>
      <c r="H22" s="76"/>
      <c r="I22" s="77"/>
      <c r="J22" s="59">
        <v>19</v>
      </c>
      <c r="K22" s="57"/>
      <c r="L22" s="57"/>
      <c r="M22" s="58"/>
      <c r="N22" s="57"/>
      <c r="O22" s="57"/>
      <c r="P22" s="57"/>
      <c r="Q22" s="58"/>
      <c r="R22" s="2"/>
      <c r="S22" s="19"/>
      <c r="T22" s="107"/>
      <c r="U22" s="107"/>
      <c r="V22" s="111"/>
      <c r="W22" s="111"/>
    </row>
    <row r="23" spans="1:23" ht="23.25" customHeight="1" x14ac:dyDescent="0.25">
      <c r="A23" s="18"/>
      <c r="B23" s="2"/>
      <c r="C23" s="75" t="s">
        <v>40</v>
      </c>
      <c r="D23" s="76"/>
      <c r="E23" s="76"/>
      <c r="F23" s="76"/>
      <c r="G23" s="76"/>
      <c r="H23" s="76"/>
      <c r="I23" s="77"/>
      <c r="J23" s="59">
        <v>16</v>
      </c>
      <c r="K23" s="57"/>
      <c r="L23" s="57"/>
      <c r="M23" s="58"/>
      <c r="N23" s="57"/>
      <c r="O23" s="57"/>
      <c r="P23" s="57"/>
      <c r="Q23" s="58"/>
      <c r="R23" s="2"/>
      <c r="S23" s="19"/>
      <c r="T23" s="107"/>
      <c r="U23" s="107"/>
      <c r="V23" s="111"/>
      <c r="W23" s="111"/>
    </row>
    <row r="24" spans="1:23" ht="23.25" customHeight="1" x14ac:dyDescent="0.25">
      <c r="A24" s="18"/>
      <c r="B24" s="2"/>
      <c r="C24" s="75" t="s">
        <v>41</v>
      </c>
      <c r="D24" s="76"/>
      <c r="E24" s="76"/>
      <c r="F24" s="76"/>
      <c r="G24" s="76"/>
      <c r="H24" s="76"/>
      <c r="I24" s="77"/>
      <c r="J24" s="59">
        <v>14</v>
      </c>
      <c r="K24" s="57"/>
      <c r="L24" s="57"/>
      <c r="M24" s="58"/>
      <c r="N24" s="57"/>
      <c r="O24" s="57"/>
      <c r="P24" s="57"/>
      <c r="Q24" s="58"/>
      <c r="R24" s="2"/>
      <c r="S24" s="19"/>
      <c r="T24" s="122"/>
      <c r="U24" s="122"/>
      <c r="V24" s="111"/>
      <c r="W24" s="111"/>
    </row>
    <row r="25" spans="1:23" ht="23.25" customHeight="1" x14ac:dyDescent="0.25">
      <c r="A25" s="18"/>
      <c r="B25" s="2"/>
      <c r="C25" s="81" t="s">
        <v>42</v>
      </c>
      <c r="D25" s="82"/>
      <c r="E25" s="82"/>
      <c r="F25" s="82"/>
      <c r="G25" s="82"/>
      <c r="H25" s="82"/>
      <c r="I25" s="83"/>
      <c r="J25" s="59">
        <v>13</v>
      </c>
      <c r="K25" s="57"/>
      <c r="L25" s="57"/>
      <c r="M25" s="58"/>
      <c r="N25" s="57"/>
      <c r="O25" s="57"/>
      <c r="P25" s="57"/>
      <c r="Q25" s="58"/>
      <c r="R25" s="2"/>
      <c r="S25" s="19"/>
      <c r="T25" s="123"/>
      <c r="U25" s="123"/>
      <c r="V25" s="123"/>
      <c r="W25" s="123"/>
    </row>
    <row r="26" spans="1:23" ht="23.25" customHeight="1" thickBot="1" x14ac:dyDescent="0.3">
      <c r="A26" s="18"/>
      <c r="B26" s="2"/>
      <c r="C26" s="78" t="s">
        <v>16</v>
      </c>
      <c r="D26" s="79"/>
      <c r="E26" s="79"/>
      <c r="F26" s="79"/>
      <c r="G26" s="79"/>
      <c r="H26" s="79"/>
      <c r="I26" s="80"/>
      <c r="J26" s="151">
        <v>18</v>
      </c>
      <c r="K26" s="151"/>
      <c r="L26" s="151"/>
      <c r="M26" s="152"/>
      <c r="N26" s="66"/>
      <c r="O26" s="66"/>
      <c r="P26" s="66"/>
      <c r="Q26" s="67"/>
      <c r="R26" s="2"/>
      <c r="S26" s="19"/>
      <c r="T26" s="121"/>
      <c r="U26" s="121"/>
      <c r="V26" s="121"/>
      <c r="W26" s="121"/>
    </row>
    <row r="27" spans="1:23" ht="23.25" customHeight="1" thickTop="1" thickBot="1" x14ac:dyDescent="0.3">
      <c r="A27" s="18"/>
      <c r="B27" s="2"/>
      <c r="C27" s="72" t="s">
        <v>17</v>
      </c>
      <c r="D27" s="73"/>
      <c r="E27" s="73"/>
      <c r="F27" s="73"/>
      <c r="G27" s="73"/>
      <c r="H27" s="73"/>
      <c r="I27" s="74"/>
      <c r="J27" s="60">
        <f>AVERAGE(J19:M26)</f>
        <v>15.5</v>
      </c>
      <c r="K27" s="60"/>
      <c r="L27" s="60"/>
      <c r="M27" s="61"/>
      <c r="N27" s="62"/>
      <c r="O27" s="62"/>
      <c r="P27" s="62"/>
      <c r="Q27" s="63"/>
      <c r="R27" s="2"/>
      <c r="S27" s="19"/>
      <c r="T27" s="45"/>
      <c r="U27" s="45"/>
      <c r="V27" s="45"/>
      <c r="W27" s="45"/>
    </row>
    <row r="28" spans="1:23" ht="6" customHeight="1" thickTop="1" thickBot="1" x14ac:dyDescent="0.3">
      <c r="A28" s="1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9"/>
      <c r="T28" s="121"/>
      <c r="U28" s="121"/>
      <c r="V28" s="121"/>
      <c r="W28" s="121"/>
    </row>
    <row r="29" spans="1:23" ht="23.25" customHeight="1" thickTop="1" thickBot="1" x14ac:dyDescent="0.3">
      <c r="A29" s="18"/>
      <c r="B29" s="2"/>
      <c r="C29" s="127" t="s">
        <v>11</v>
      </c>
      <c r="D29" s="128"/>
      <c r="E29" s="128"/>
      <c r="F29" s="128"/>
      <c r="G29" s="128"/>
      <c r="H29" s="128"/>
      <c r="I29" s="129"/>
      <c r="J29" s="130" t="s">
        <v>24</v>
      </c>
      <c r="K29" s="131"/>
      <c r="L29" s="131"/>
      <c r="M29" s="132"/>
      <c r="N29" s="133" t="s">
        <v>20</v>
      </c>
      <c r="O29" s="133"/>
      <c r="P29" s="133"/>
      <c r="Q29" s="134"/>
      <c r="R29" s="2"/>
      <c r="S29" s="19"/>
      <c r="T29" s="30"/>
      <c r="U29" s="30"/>
      <c r="V29" s="30"/>
      <c r="W29" s="30"/>
    </row>
    <row r="30" spans="1:23" ht="23.25" customHeight="1" thickTop="1" x14ac:dyDescent="0.25">
      <c r="A30" s="18"/>
      <c r="B30" s="2"/>
      <c r="C30" s="142" t="s">
        <v>25</v>
      </c>
      <c r="D30" s="143"/>
      <c r="E30" s="143"/>
      <c r="F30" s="143"/>
      <c r="G30" s="143"/>
      <c r="H30" s="143"/>
      <c r="I30" s="144"/>
      <c r="J30" s="124">
        <v>17</v>
      </c>
      <c r="K30" s="125"/>
      <c r="L30" s="125"/>
      <c r="M30" s="126"/>
      <c r="N30" s="125"/>
      <c r="O30" s="125"/>
      <c r="P30" s="125"/>
      <c r="Q30" s="126"/>
      <c r="R30" s="2"/>
      <c r="S30" s="19"/>
      <c r="T30" s="121"/>
      <c r="U30" s="121"/>
      <c r="V30" s="121"/>
      <c r="W30" s="121"/>
    </row>
    <row r="31" spans="1:23" ht="23.25" customHeight="1" thickBot="1" x14ac:dyDescent="0.3">
      <c r="A31" s="18"/>
      <c r="B31" s="2"/>
      <c r="C31" s="69" t="s">
        <v>26</v>
      </c>
      <c r="D31" s="70"/>
      <c r="E31" s="70"/>
      <c r="F31" s="70"/>
      <c r="G31" s="146"/>
      <c r="H31" s="146"/>
      <c r="I31" s="147"/>
      <c r="J31" s="135">
        <v>20</v>
      </c>
      <c r="K31" s="136"/>
      <c r="L31" s="136"/>
      <c r="M31" s="137"/>
      <c r="N31" s="136"/>
      <c r="O31" s="136"/>
      <c r="P31" s="136"/>
      <c r="Q31" s="137"/>
      <c r="R31" s="2"/>
      <c r="S31" s="19"/>
      <c r="T31" s="121"/>
      <c r="U31" s="121"/>
      <c r="V31" s="121"/>
      <c r="W31" s="121"/>
    </row>
    <row r="32" spans="1:23" ht="30.75" customHeight="1" thickTop="1" x14ac:dyDescent="0.25">
      <c r="A32" s="18"/>
      <c r="B32" s="2"/>
      <c r="C32" s="2" t="s">
        <v>21</v>
      </c>
      <c r="D32" s="2"/>
      <c r="E32" s="2"/>
      <c r="F32" s="2"/>
      <c r="G32" s="145"/>
      <c r="H32" s="145"/>
      <c r="I32" s="145"/>
      <c r="J32" s="2"/>
      <c r="K32" s="2" t="s">
        <v>22</v>
      </c>
      <c r="L32" s="2"/>
      <c r="M32" s="2"/>
      <c r="N32" s="2"/>
      <c r="O32" s="138"/>
      <c r="P32" s="138"/>
      <c r="Q32" s="138"/>
      <c r="R32" s="2"/>
      <c r="S32" s="19"/>
      <c r="T32" s="121"/>
      <c r="U32" s="121"/>
      <c r="V32" s="121"/>
      <c r="W32" s="121"/>
    </row>
    <row r="33" spans="1:19" ht="30" customHeight="1" x14ac:dyDescent="0.25">
      <c r="A33" s="18"/>
      <c r="B33" s="2"/>
      <c r="C33" s="2"/>
      <c r="D33" s="2"/>
      <c r="E33" s="2"/>
      <c r="F33" s="2"/>
      <c r="G33" s="29"/>
      <c r="H33" s="29"/>
      <c r="I33" s="29"/>
      <c r="J33" s="12" t="s">
        <v>23</v>
      </c>
      <c r="K33" s="2"/>
      <c r="L33" s="2"/>
      <c r="M33" s="2"/>
      <c r="N33" s="2"/>
      <c r="O33" s="2"/>
      <c r="P33" s="2"/>
      <c r="Q33" s="2"/>
      <c r="R33" s="2"/>
      <c r="S33" s="19"/>
    </row>
    <row r="34" spans="1:19" ht="30" customHeight="1" thickBot="1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0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6:I26"/>
    <mergeCell ref="J26:M26"/>
    <mergeCell ref="N26:Q26"/>
    <mergeCell ref="T26:U26"/>
    <mergeCell ref="V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7:I27"/>
    <mergeCell ref="J27:M27"/>
    <mergeCell ref="N27:Q27"/>
    <mergeCell ref="G15:L15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NOMINA</vt:lpstr>
      <vt:lpstr>SEBASTIAN</vt:lpstr>
      <vt:lpstr>SANTIAGO</vt:lpstr>
      <vt:lpstr>VENEZIA</vt:lpstr>
      <vt:lpstr>CAMILA C</vt:lpstr>
      <vt:lpstr>VICTOR</vt:lpstr>
      <vt:lpstr>EBRAHIM</vt:lpstr>
      <vt:lpstr>SANTIAGO ANDRES</vt:lpstr>
      <vt:lpstr>FRANCISCO V.</vt:lpstr>
      <vt:lpstr>JESUS HER.</vt:lpstr>
      <vt:lpstr>YOSERT</vt:lpstr>
      <vt:lpstr>DIEGO IBARRA</vt:lpstr>
      <vt:lpstr>MARIA  V</vt:lpstr>
      <vt:lpstr>FRANCISCO AB</vt:lpstr>
      <vt:lpstr>'CAMILA C'!Área_de_impresión</vt:lpstr>
      <vt:lpstr>'DIEGO IBARRA'!Área_de_impresión</vt:lpstr>
      <vt:lpstr>EBRAHIM!Área_de_impresión</vt:lpstr>
      <vt:lpstr>'FRANCISCO AB'!Área_de_impresión</vt:lpstr>
      <vt:lpstr>'FRANCISCO V.'!Área_de_impresión</vt:lpstr>
      <vt:lpstr>'JESUS HER.'!Área_de_impresión</vt:lpstr>
      <vt:lpstr>'MARIA  V'!Área_de_impresión</vt:lpstr>
      <vt:lpstr>SANTIAGO!Área_de_impresión</vt:lpstr>
      <vt:lpstr>'SANTIAGO ANDRES'!Área_de_impresión</vt:lpstr>
      <vt:lpstr>SEBASTIAN!Área_de_impresión</vt:lpstr>
      <vt:lpstr>VENEZIA!Área_de_impresión</vt:lpstr>
      <vt:lpstr>VICTOR!Área_de_impresión</vt:lpstr>
      <vt:lpstr>YOSERT!Área_de_impresión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ACOSTA</cp:lastModifiedBy>
  <cp:lastPrinted>2025-12-10T16:01:53Z</cp:lastPrinted>
  <dcterms:created xsi:type="dcterms:W3CDTF">2023-11-22T13:07:37Z</dcterms:created>
  <dcterms:modified xsi:type="dcterms:W3CDTF">2025-12-11T13:49:14Z</dcterms:modified>
</cp:coreProperties>
</file>