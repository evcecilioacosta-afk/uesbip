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NOLO\Users\Public\MANOLO\DOCUMENTOS 2025-2026\PRIMER MOMENTO Boletines 2025-2026\2DO AÑO 2025-2026\"/>
    </mc:Choice>
  </mc:AlternateContent>
  <bookViews>
    <workbookView xWindow="120" yWindow="150" windowWidth="20115" windowHeight="7995" tabRatio="940" firstSheet="5" activeTab="14"/>
  </bookViews>
  <sheets>
    <sheet name="NOMINA" sheetId="2" r:id="rId1"/>
    <sheet name="ANGEL GABRIEL" sheetId="12" r:id="rId2"/>
    <sheet name="ANTHONY GABRIEL" sheetId="7" r:id="rId3"/>
    <sheet name="LARA LUIS" sheetId="14" r:id="rId4"/>
    <sheet name="DIEGO ALEJANDRO" sheetId="15" r:id="rId5"/>
    <sheet name="NEYLIMAR NATHALIA" sheetId="21" r:id="rId6"/>
    <sheet name="CARLOS ADRIAN" sheetId="9" r:id="rId7"/>
    <sheet name="GENESIS SOFIA" sheetId="18" r:id="rId8"/>
    <sheet name="MARIA SALOME" sheetId="16" r:id="rId9"/>
    <sheet name="JORGE FERNANDO" sheetId="17" r:id="rId10"/>
    <sheet name="PIA SIMONE" sheetId="5" r:id="rId11"/>
    <sheet name="MATHIAS BENJAMIN" sheetId="11" r:id="rId12"/>
    <sheet name="ALNARDO ANTONIO" sheetId="1" r:id="rId13"/>
    <sheet name="GENESIA ALEJANDRA" sheetId="4" r:id="rId14"/>
    <sheet name="CHRISTIAN GUILLERMO" sheetId="23" r:id="rId15"/>
    <sheet name="MATHIAS ENRIQUE " sheetId="22" r:id="rId16"/>
    <sheet name="CARLA GABRIELA" sheetId="26" r:id="rId17"/>
    <sheet name="SOFIA DEL VALLE" sheetId="25" r:id="rId18"/>
    <sheet name="EMY LUNA" sheetId="27" r:id="rId19"/>
  </sheets>
  <definedNames>
    <definedName name="_xlnm.Print_Area" localSheetId="12">'ALNARDO ANTONIO'!$A$1:$S$33</definedName>
    <definedName name="_xlnm.Print_Area" localSheetId="1">'ANGEL GABRIEL'!$A$1:$S$34</definedName>
    <definedName name="_xlnm.Print_Area" localSheetId="2">'ANTHONY GABRIEL'!$A$1:$S$34</definedName>
    <definedName name="_xlnm.Print_Area" localSheetId="16">'CARLA GABRIELA'!$A$1:$S$34</definedName>
    <definedName name="_xlnm.Print_Area" localSheetId="6">'CARLOS ADRIAN'!$A$1:$S$34</definedName>
    <definedName name="_xlnm.Print_Area" localSheetId="14">'CHRISTIAN GUILLERMO'!$A$1:$S$33</definedName>
    <definedName name="_xlnm.Print_Area" localSheetId="4">'DIEGO ALEJANDRO'!$A$1:$S$34</definedName>
    <definedName name="_xlnm.Print_Area" localSheetId="18">'EMY LUNA'!$A$1:$S$34</definedName>
    <definedName name="_xlnm.Print_Area" localSheetId="13">'GENESIA ALEJANDRA'!$A$1:$S$33</definedName>
    <definedName name="_xlnm.Print_Area" localSheetId="7">'GENESIS SOFIA'!$A$1:$S$34</definedName>
    <definedName name="_xlnm.Print_Area" localSheetId="9">'JORGE FERNANDO'!$A$1:$S$34</definedName>
    <definedName name="_xlnm.Print_Area" localSheetId="3">'LARA LUIS'!$A$1:$S$34</definedName>
    <definedName name="_xlnm.Print_Area" localSheetId="8">'MARIA SALOME'!$A$1:$S$34</definedName>
    <definedName name="_xlnm.Print_Area" localSheetId="11">'MATHIAS BENJAMIN'!$A$1:$S$34</definedName>
    <definedName name="_xlnm.Print_Area" localSheetId="15">'MATHIAS ENRIQUE '!$A$1:$S$34</definedName>
    <definedName name="_xlnm.Print_Area" localSheetId="5">'NEYLIMAR NATHALIA'!$A$1:$S$33</definedName>
    <definedName name="_xlnm.Print_Area" localSheetId="10">'PIA SIMONE'!$A$1:$S$34</definedName>
    <definedName name="_xlnm.Print_Area" localSheetId="17">'SOFIA DEL VALLE'!$A$1:$S$34</definedName>
  </definedNames>
  <calcPr calcId="162913"/>
  <fileRecoveryPr repairLoad="1"/>
</workbook>
</file>

<file path=xl/calcChain.xml><?xml version="1.0" encoding="utf-8"?>
<calcChain xmlns="http://schemas.openxmlformats.org/spreadsheetml/2006/main">
  <c r="J27" i="12" l="1"/>
  <c r="J27" i="7"/>
  <c r="J27" i="14"/>
  <c r="J27" i="15"/>
  <c r="J27" i="21"/>
  <c r="J27" i="9"/>
  <c r="J27" i="18"/>
  <c r="J27" i="16"/>
  <c r="J27" i="17"/>
  <c r="J27" i="5"/>
  <c r="J27" i="11"/>
  <c r="J27" i="1"/>
  <c r="J27" i="4"/>
  <c r="J27" i="23"/>
  <c r="J27" i="22"/>
  <c r="J27" i="26"/>
  <c r="J27" i="25"/>
  <c r="C57" i="2" l="1"/>
</calcChain>
</file>

<file path=xl/sharedStrings.xml><?xml version="1.0" encoding="utf-8"?>
<sst xmlns="http://schemas.openxmlformats.org/spreadsheetml/2006/main" count="747" uniqueCount="106">
  <si>
    <t>BOLETIN DE CALIFICACIONES</t>
  </si>
  <si>
    <t>U. E. P. CECILIO ACOSTA</t>
  </si>
  <si>
    <t>NOMBRES Y APELLIDOS:</t>
  </si>
  <si>
    <t>C.I.: V-</t>
  </si>
  <si>
    <t>LUGAR DE NACIMIENTO:</t>
  </si>
  <si>
    <t xml:space="preserve">FECHA DE NACIMIENTO: </t>
  </si>
  <si>
    <t>AÑO:</t>
  </si>
  <si>
    <t>SECCION:</t>
  </si>
  <si>
    <t>AÑO ESCOLAR:</t>
  </si>
  <si>
    <t>NOMBRE Y APELLIDO DEL REPRESENTANTE:</t>
  </si>
  <si>
    <t xml:space="preserve">PROFESOR ORIENTADOR: </t>
  </si>
  <si>
    <t>EDAD:</t>
  </si>
  <si>
    <t>ÁREAS DE FORMACIÓN</t>
  </si>
  <si>
    <t>CASTELLANO</t>
  </si>
  <si>
    <t>INGLÉS Y OTRAS LENGUAS E.</t>
  </si>
  <si>
    <t>MATEMÁTICA</t>
  </si>
  <si>
    <t>EDUCACIÓN FÍSICA</t>
  </si>
  <si>
    <t>GEOGRAFÍA, HISTORIA. Y CIUD.</t>
  </si>
  <si>
    <t>PROMEDIO</t>
  </si>
  <si>
    <t>INFORME DE LA ACTUACIÓN DEL O LA ESTUDIANTE</t>
  </si>
  <si>
    <t>INASISTENCIAS</t>
  </si>
  <si>
    <t>FIRMA DEL DIRECTOR</t>
  </si>
  <si>
    <t>FIRMA DEL EVALUADOR</t>
  </si>
  <si>
    <t>SELLO</t>
  </si>
  <si>
    <t>ORIENTACION</t>
  </si>
  <si>
    <t>"U"</t>
  </si>
  <si>
    <t>ARTE Y PATRIMONIO</t>
  </si>
  <si>
    <t>CIENCIAS NATURALES</t>
  </si>
  <si>
    <t>GRUPO DE CREACIÓN, RECREACIÓN Y PRODUCCIÓN</t>
  </si>
  <si>
    <t xml:space="preserve"> CALIFICACIÓN</t>
  </si>
  <si>
    <t>CALIFICACIÓN 1ER MOMENTO</t>
  </si>
  <si>
    <t>REPUBLICA BOLIVARIANA DE VENEZUELA</t>
  </si>
  <si>
    <t xml:space="preserve">MINISTERIO DEL PODER POPULAR PARA LA EDUCACIÓN </t>
  </si>
  <si>
    <t>UNIDAD EDUCATIVA "CECILIO ACOSTA"</t>
  </si>
  <si>
    <t>DEPARTAMENTO DE EVALUACIÓN Y CONTROL DE ESTUDIO</t>
  </si>
  <si>
    <t>N°</t>
  </si>
  <si>
    <t>CÉDULA</t>
  </si>
  <si>
    <t>APELLIDOS Y NOMBRES</t>
  </si>
  <si>
    <t>GONZÁLEZ VALLENILLA SEBASTIÁN JOSÉ</t>
  </si>
  <si>
    <t>GONZÁLEZ VALLENILLA SANTIAGO ALEJANDRO</t>
  </si>
  <si>
    <t>CHACOA SOSA VENEZIA</t>
  </si>
  <si>
    <t>JIMÉNEZ MORALES VÍCTOR SAMUEL</t>
  </si>
  <si>
    <t>SANTIAGO FIGUEROA ANDRES EMILIO</t>
  </si>
  <si>
    <t>VELÁSQUEZ GUERRA FRANCISCO ALEJANDRO</t>
  </si>
  <si>
    <t>CANELON CENTENO MAXIMILIANO</t>
  </si>
  <si>
    <t>HERNANDEZ RUIZ JESUS RAMON</t>
  </si>
  <si>
    <t>ROJAS RODRÍGUEZ MICHELYS DE LOS ANGELES</t>
  </si>
  <si>
    <t>CARABALLO CABELLO VICTORIA SOFÍA</t>
  </si>
  <si>
    <t>RODRÍGUEZ BOLIVAR DARYANA DE LOS ANGELES</t>
  </si>
  <si>
    <t>ANTÓN RODRÍGUEZ JOSÉ GABRIEL</t>
  </si>
  <si>
    <t>FUENTES MOSQUEDA FABIANA VALENTINA</t>
  </si>
  <si>
    <t>MARTÍNEZ CABRERA CESAR ERNESTO</t>
  </si>
  <si>
    <t>ABBOUD LEANDRO FRANCISCO AZIZ</t>
  </si>
  <si>
    <t>RODRÍGUEZ BENÍTEZ LUCIANO ALESSANDRO</t>
  </si>
  <si>
    <t>MATURIN</t>
  </si>
  <si>
    <t>DATOS</t>
  </si>
  <si>
    <t>NOTAS</t>
  </si>
  <si>
    <t>ENTREGADO</t>
  </si>
  <si>
    <t>1ER</t>
  </si>
  <si>
    <t>ANNYS MANZANO</t>
  </si>
  <si>
    <t>ANGEL GABRIEL MARCANO MANZANO</t>
  </si>
  <si>
    <t>ANTHONY GABRIEL MUÑOZ GALLARDO</t>
  </si>
  <si>
    <t>BIRLIN GALLARDO</t>
  </si>
  <si>
    <t>DIEGO ALEJANDRO CARREÑO MARTINEZ</t>
  </si>
  <si>
    <t>DEISY MARTINEZ</t>
  </si>
  <si>
    <t>CARLOS ADRIAN LARA GUTIERREZ</t>
  </si>
  <si>
    <t>LILIANA GUTIERREZ</t>
  </si>
  <si>
    <t>NEYLIMAR NATHALIA SALAZAR PARODI</t>
  </si>
  <si>
    <t>NEYLA PARODI</t>
  </si>
  <si>
    <t>GENESIS SOFIA DURAN RIVAS</t>
  </si>
  <si>
    <t>NELITZE RIVAS</t>
  </si>
  <si>
    <t>MARIA SALOME PEREZ HERNANDEZ</t>
  </si>
  <si>
    <t>MARIA HERNANDEZ</t>
  </si>
  <si>
    <t>JORGE FERNANDO TOVAR GARCIA</t>
  </si>
  <si>
    <t>MARIA GARCIA</t>
  </si>
  <si>
    <t>PIA SIMONNE SANCHEZ GUEVARA</t>
  </si>
  <si>
    <t>MAILIN GUEVARA</t>
  </si>
  <si>
    <t xml:space="preserve">MATURIN </t>
  </si>
  <si>
    <t>MATHIAS BENJAMIN BETANCOURT FERMIN</t>
  </si>
  <si>
    <t>SOLEYDIS FERMIN</t>
  </si>
  <si>
    <t>ZAMORA -  MONAGAS</t>
  </si>
  <si>
    <t>ANA PALMARES</t>
  </si>
  <si>
    <t>GENESIS ALEJANDRA BRITO YZZE</t>
  </si>
  <si>
    <t>PAOLA YZZE</t>
  </si>
  <si>
    <t>CHRISTIAN GUILLERMO DUBOIS CARMONA</t>
  </si>
  <si>
    <t>KARLA DUBOIS</t>
  </si>
  <si>
    <t>MATHIAS ENRIQUE SOSA FIGUEROA</t>
  </si>
  <si>
    <t>YOLIMAR FIGUEROA</t>
  </si>
  <si>
    <t>C. E.:</t>
  </si>
  <si>
    <t>SOFIA DEL VALLE CAHAS JIMENEZ</t>
  </si>
  <si>
    <t xml:space="preserve">LUISA JIMENEZ </t>
  </si>
  <si>
    <t>CARLA GABRIELA GIL YANCE</t>
  </si>
  <si>
    <t>MAILHEZ YANCE</t>
  </si>
  <si>
    <t>C. E. :</t>
  </si>
  <si>
    <t>MARIA TORREALBA</t>
  </si>
  <si>
    <t xml:space="preserve">EMY LUNA PAREDES TORREALBA </t>
  </si>
  <si>
    <t>MUSICA</t>
  </si>
  <si>
    <t>ARNALDO ANTONIO PAREJO PALMARES</t>
  </si>
  <si>
    <t>2DO</t>
  </si>
  <si>
    <t>LUIS RODRIGO LARA CARRERA</t>
  </si>
  <si>
    <t>ACOSTA - MONAGAS</t>
  </si>
  <si>
    <t>DOMINGO URBANEJA</t>
  </si>
  <si>
    <t>2025-2026</t>
  </si>
  <si>
    <t>CARMELA LARA</t>
  </si>
  <si>
    <t>12</t>
  </si>
  <si>
    <t>U. E.  CECILIO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</si>
</sst>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V\ 0"/>
  </numFmts>
  <fonts count="21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Cambria"/>
      <family val="1"/>
    </font>
    <font>
      <b/>
      <i/>
      <sz val="12"/>
      <color theme="1"/>
      <name val="Calibri"/>
      <family val="2"/>
      <scheme val="minor"/>
    </font>
    <font>
      <i/>
      <sz val="16"/>
      <color theme="1"/>
      <name val="Times New Roman"/>
      <family val="1"/>
    </font>
    <font>
      <sz val="14"/>
      <color theme="1"/>
      <name val="Stencil"/>
      <family val="5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 tint="-0.249977111117893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EFEF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2C4"/>
        <bgColor indexed="64"/>
      </patternFill>
    </fill>
    <fill>
      <patternFill patternType="solid">
        <fgColor rgb="FF00F2C4"/>
        <bgColor rgb="FFEFEFF0"/>
      </patternFill>
    </fill>
  </fills>
  <borders count="6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thin">
        <color theme="3" tint="-0.249977111117893"/>
      </top>
      <bottom style="double">
        <color theme="3" tint="-0.249977111117893"/>
      </bottom>
      <diagonal/>
    </border>
    <border>
      <left/>
      <right/>
      <top style="thin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thin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/>
      <diagonal/>
    </border>
    <border>
      <left style="double">
        <color theme="3" tint="-0.249977111117893"/>
      </left>
      <right/>
      <top style="double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/>
      <right style="double">
        <color theme="3" tint="-0.249977111117893"/>
      </right>
      <top style="thin">
        <color theme="3" tint="-0.249977111117893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theme="3" tint="-0.249977111117893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221">
    <xf numFmtId="0" fontId="0" fillId="0" borderId="0" xfId="0"/>
    <xf numFmtId="0" fontId="0" fillId="0" borderId="0" xfId="0"/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12" xfId="0" applyFont="1" applyBorder="1" applyAlignment="1"/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/>
    <xf numFmtId="0" fontId="13" fillId="0" borderId="0" xfId="0" applyFont="1" applyBorder="1"/>
    <xf numFmtId="0" fontId="5" fillId="0" borderId="0" xfId="0" applyFont="1" applyBorder="1" applyAlignment="1">
      <alignment vertic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1" fillId="0" borderId="29" xfId="0" applyFont="1" applyBorder="1" applyAlignment="1"/>
    <xf numFmtId="0" fontId="11" fillId="0" borderId="29" xfId="0" applyFont="1" applyBorder="1"/>
    <xf numFmtId="0" fontId="12" fillId="0" borderId="29" xfId="0" applyFont="1" applyBorder="1"/>
    <xf numFmtId="0" fontId="11" fillId="0" borderId="28" xfId="0" applyFont="1" applyBorder="1"/>
    <xf numFmtId="0" fontId="12" fillId="0" borderId="29" xfId="0" applyFont="1" applyBorder="1" applyAlignment="1"/>
    <xf numFmtId="0" fontId="14" fillId="0" borderId="29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46" xfId="0" applyBorder="1"/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5" xfId="0" applyBorder="1"/>
    <xf numFmtId="0" fontId="11" fillId="0" borderId="0" xfId="0" applyFont="1"/>
    <xf numFmtId="0" fontId="11" fillId="0" borderId="5" xfId="0" applyFont="1" applyBorder="1"/>
    <xf numFmtId="164" fontId="11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1" fillId="4" borderId="5" xfId="0" applyFont="1" applyFill="1" applyBorder="1"/>
    <xf numFmtId="0" fontId="18" fillId="4" borderId="5" xfId="0" applyFont="1" applyFill="1" applyBorder="1" applyAlignment="1">
      <alignment horizontal="center"/>
    </xf>
    <xf numFmtId="0" fontId="18" fillId="4" borderId="5" xfId="0" applyFont="1" applyFill="1" applyBorder="1"/>
    <xf numFmtId="0" fontId="0" fillId="0" borderId="0" xfId="0" applyBorder="1" applyAlignment="1">
      <alignment vertical="center"/>
    </xf>
    <xf numFmtId="0" fontId="12" fillId="0" borderId="0" xfId="0" applyFont="1" applyBorder="1" applyAlignment="1">
      <alignment horizontal="center"/>
    </xf>
    <xf numFmtId="0" fontId="0" fillId="0" borderId="51" xfId="0" applyBorder="1"/>
    <xf numFmtId="0" fontId="0" fillId="0" borderId="12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1" fillId="0" borderId="54" xfId="0" applyFont="1" applyBorder="1" applyAlignment="1"/>
    <xf numFmtId="0" fontId="11" fillId="0" borderId="54" xfId="0" applyFont="1" applyBorder="1"/>
    <xf numFmtId="0" fontId="12" fillId="0" borderId="54" xfId="0" applyFont="1" applyBorder="1"/>
    <xf numFmtId="0" fontId="11" fillId="0" borderId="53" xfId="0" applyFont="1" applyBorder="1"/>
    <xf numFmtId="0" fontId="12" fillId="0" borderId="54" xfId="0" applyFont="1" applyBorder="1" applyAlignment="1"/>
    <xf numFmtId="0" fontId="14" fillId="0" borderId="54" xfId="0" applyFont="1" applyBorder="1" applyAlignment="1">
      <alignment vertical="center"/>
    </xf>
    <xf numFmtId="0" fontId="0" fillId="0" borderId="55" xfId="0" applyBorder="1"/>
    <xf numFmtId="0" fontId="0" fillId="0" borderId="3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11" fillId="0" borderId="61" xfId="0" applyFont="1" applyBorder="1" applyAlignment="1"/>
    <xf numFmtId="0" fontId="11" fillId="0" borderId="61" xfId="0" applyFont="1" applyBorder="1"/>
    <xf numFmtId="0" fontId="12" fillId="0" borderId="61" xfId="0" applyFont="1" applyBorder="1"/>
    <xf numFmtId="0" fontId="11" fillId="0" borderId="60" xfId="0" applyFont="1" applyBorder="1"/>
    <xf numFmtId="0" fontId="12" fillId="0" borderId="61" xfId="0" applyFont="1" applyBorder="1" applyAlignment="1"/>
    <xf numFmtId="0" fontId="14" fillId="0" borderId="61" xfId="0" applyFont="1" applyBorder="1" applyAlignment="1">
      <alignment vertical="center"/>
    </xf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3" fillId="0" borderId="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0" fontId="17" fillId="2" borderId="6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66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0" fillId="0" borderId="67" xfId="0" applyBorder="1"/>
    <xf numFmtId="0" fontId="13" fillId="0" borderId="63" xfId="0" applyFont="1" applyBorder="1"/>
    <xf numFmtId="0" fontId="12" fillId="0" borderId="0" xfId="0" applyFont="1" applyBorder="1" applyAlignment="1">
      <alignment horizontal="center"/>
    </xf>
    <xf numFmtId="0" fontId="0" fillId="0" borderId="61" xfId="0" applyBorder="1" applyAlignment="1">
      <alignment wrapText="1"/>
    </xf>
    <xf numFmtId="0" fontId="19" fillId="0" borderId="5" xfId="1" applyBorder="1" applyAlignment="1">
      <alignment horizontal="left"/>
    </xf>
    <xf numFmtId="0" fontId="11" fillId="4" borderId="5" xfId="0" applyFont="1" applyFill="1" applyBorder="1" applyAlignment="1">
      <alignment horizontal="center"/>
    </xf>
    <xf numFmtId="0" fontId="19" fillId="0" borderId="5" xfId="1" applyBorder="1"/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0" fillId="0" borderId="41" xfId="0" applyBorder="1" applyAlignment="1">
      <alignment horizontal="center"/>
    </xf>
    <xf numFmtId="0" fontId="0" fillId="0" borderId="3" xfId="0" applyBorder="1" applyAlignment="1">
      <alignment horizontal="center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7" fillId="6" borderId="34" xfId="0" applyFont="1" applyFill="1" applyBorder="1" applyAlignment="1">
      <alignment horizontal="center" vertical="center"/>
    </xf>
    <xf numFmtId="0" fontId="17" fillId="6" borderId="35" xfId="0" applyFont="1" applyFill="1" applyBorder="1" applyAlignment="1">
      <alignment horizontal="center" vertical="center"/>
    </xf>
    <xf numFmtId="0" fontId="17" fillId="6" borderId="36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wrapText="1"/>
    </xf>
    <xf numFmtId="0" fontId="12" fillId="5" borderId="11" xfId="0" applyFont="1" applyFill="1" applyBorder="1" applyAlignment="1">
      <alignment horizontal="center" wrapText="1"/>
    </xf>
    <xf numFmtId="0" fontId="12" fillId="5" borderId="22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0" fontId="12" fillId="0" borderId="3" xfId="0" applyFont="1" applyBorder="1" applyAlignment="1">
      <alignment horizontal="center" shrinkToFit="1"/>
    </xf>
    <xf numFmtId="0" fontId="10" fillId="0" borderId="2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5" borderId="34" xfId="0" applyFont="1" applyFill="1" applyBorder="1" applyAlignment="1">
      <alignment horizontal="center" wrapText="1"/>
    </xf>
    <xf numFmtId="0" fontId="12" fillId="5" borderId="35" xfId="0" applyFont="1" applyFill="1" applyBorder="1" applyAlignment="1">
      <alignment horizontal="center" wrapText="1"/>
    </xf>
    <xf numFmtId="0" fontId="12" fillId="5" borderId="36" xfId="0" applyFont="1" applyFill="1" applyBorder="1" applyAlignment="1">
      <alignment horizontal="center" wrapText="1"/>
    </xf>
    <xf numFmtId="0" fontId="12" fillId="0" borderId="45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2" fontId="12" fillId="0" borderId="24" xfId="0" applyNumberFormat="1" applyFont="1" applyBorder="1" applyAlignment="1">
      <alignment horizontal="center"/>
    </xf>
    <xf numFmtId="2" fontId="12" fillId="0" borderId="13" xfId="0" applyNumberFormat="1" applyFont="1" applyBorder="1" applyAlignment="1">
      <alignment horizontal="center"/>
    </xf>
    <xf numFmtId="2" fontId="12" fillId="0" borderId="18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0" fillId="0" borderId="60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12" fillId="0" borderId="9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0" fontId="12" fillId="0" borderId="23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17" fillId="0" borderId="40" xfId="0" applyFont="1" applyFill="1" applyBorder="1" applyAlignment="1">
      <alignment horizontal="center" vertical="center"/>
    </xf>
    <xf numFmtId="0" fontId="17" fillId="0" borderId="41" xfId="0" applyFont="1" applyFill="1" applyBorder="1" applyAlignment="1">
      <alignment horizontal="center" vertical="center"/>
    </xf>
    <xf numFmtId="0" fontId="17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F2C4"/>
      <color rgb="FFF03C89"/>
      <color rgb="FFCC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159895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126447</xdr:colOff>
      <xdr:row>3</xdr:row>
      <xdr:rowOff>87474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10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6" y="130492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5</xdr:row>
      <xdr:rowOff>9524</xdr:rowOff>
    </xdr:from>
    <xdr:to>
      <xdr:col>10</xdr:col>
      <xdr:colOff>161925</xdr:colOff>
      <xdr:row>8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33204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131320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1" y="1171574"/>
          <a:ext cx="904874" cy="81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57"/>
  <sheetViews>
    <sheetView workbookViewId="0">
      <selection activeCell="B37" sqref="B37:H56"/>
    </sheetView>
  </sheetViews>
  <sheetFormatPr baseColWidth="10" defaultRowHeight="15" x14ac:dyDescent="0.25"/>
  <cols>
    <col min="1" max="1" width="3.42578125" customWidth="1"/>
  </cols>
  <sheetData>
    <row r="1" spans="1:10" x14ac:dyDescent="0.25">
      <c r="A1" s="35" t="s">
        <v>31</v>
      </c>
      <c r="B1" s="35"/>
      <c r="C1" s="35"/>
      <c r="D1" s="35"/>
      <c r="E1" s="35"/>
      <c r="F1" s="35"/>
    </row>
    <row r="2" spans="1:10" x14ac:dyDescent="0.25">
      <c r="A2" s="35" t="s">
        <v>32</v>
      </c>
      <c r="B2" s="35"/>
      <c r="C2" s="35"/>
      <c r="D2" s="35"/>
      <c r="E2" s="35"/>
      <c r="F2" s="35"/>
    </row>
    <row r="3" spans="1:10" x14ac:dyDescent="0.25">
      <c r="A3" s="35" t="s">
        <v>33</v>
      </c>
      <c r="B3" s="35"/>
      <c r="C3" s="35"/>
      <c r="D3" s="35"/>
      <c r="E3" s="35"/>
      <c r="F3" s="35"/>
    </row>
    <row r="4" spans="1:10" x14ac:dyDescent="0.25">
      <c r="A4" s="35" t="s">
        <v>34</v>
      </c>
      <c r="B4" s="35"/>
      <c r="C4" s="35"/>
      <c r="D4" s="35"/>
      <c r="E4" s="35"/>
      <c r="F4" s="35"/>
    </row>
    <row r="5" spans="1:10" x14ac:dyDescent="0.25">
      <c r="A5" s="35"/>
      <c r="B5" s="35"/>
      <c r="C5" s="35"/>
      <c r="D5" s="35"/>
      <c r="E5" s="35"/>
      <c r="F5" s="35"/>
    </row>
    <row r="6" spans="1:10" x14ac:dyDescent="0.25">
      <c r="A6" s="40" t="s">
        <v>35</v>
      </c>
      <c r="B6" s="40" t="s">
        <v>36</v>
      </c>
      <c r="C6" s="88" t="s">
        <v>37</v>
      </c>
      <c r="D6" s="88"/>
      <c r="E6" s="88"/>
      <c r="F6" s="88"/>
      <c r="G6" s="88"/>
      <c r="H6" s="41" t="s">
        <v>55</v>
      </c>
      <c r="I6" s="41" t="s">
        <v>56</v>
      </c>
      <c r="J6" s="42" t="s">
        <v>57</v>
      </c>
    </row>
    <row r="7" spans="1:10" x14ac:dyDescent="0.25">
      <c r="A7" s="36">
        <v>1</v>
      </c>
      <c r="B7" s="37">
        <v>33581259</v>
      </c>
      <c r="C7" s="89" t="s">
        <v>38</v>
      </c>
      <c r="D7" s="89"/>
      <c r="E7" s="89"/>
      <c r="F7" s="89"/>
      <c r="G7" s="89"/>
      <c r="H7" s="38">
        <v>2</v>
      </c>
      <c r="I7" s="38">
        <v>2</v>
      </c>
      <c r="J7" s="39"/>
    </row>
    <row r="8" spans="1:10" x14ac:dyDescent="0.25">
      <c r="A8" s="36">
        <v>2</v>
      </c>
      <c r="B8" s="37">
        <v>33682052</v>
      </c>
      <c r="C8" s="89" t="s">
        <v>39</v>
      </c>
      <c r="D8" s="89"/>
      <c r="E8" s="89"/>
      <c r="F8" s="89"/>
      <c r="G8" s="89"/>
      <c r="H8" s="38">
        <v>2</v>
      </c>
      <c r="I8" s="38">
        <v>2</v>
      </c>
      <c r="J8" s="34"/>
    </row>
    <row r="9" spans="1:10" x14ac:dyDescent="0.25">
      <c r="A9" s="36">
        <v>3</v>
      </c>
      <c r="B9" s="37">
        <v>33832037</v>
      </c>
      <c r="C9" s="89" t="s">
        <v>40</v>
      </c>
      <c r="D9" s="89"/>
      <c r="E9" s="89"/>
      <c r="F9" s="89"/>
      <c r="G9" s="89"/>
      <c r="H9" s="38">
        <v>2</v>
      </c>
      <c r="I9" s="38">
        <v>2</v>
      </c>
      <c r="J9" s="34"/>
    </row>
    <row r="10" spans="1:10" x14ac:dyDescent="0.25">
      <c r="A10" s="36">
        <v>4</v>
      </c>
      <c r="B10" s="37">
        <v>33832760</v>
      </c>
      <c r="C10" s="89" t="s">
        <v>41</v>
      </c>
      <c r="D10" s="89"/>
      <c r="E10" s="89"/>
      <c r="F10" s="89"/>
      <c r="G10" s="89"/>
      <c r="H10" s="38">
        <v>2</v>
      </c>
      <c r="I10" s="38">
        <v>2</v>
      </c>
      <c r="J10" s="34"/>
    </row>
    <row r="11" spans="1:10" x14ac:dyDescent="0.25">
      <c r="A11" s="36">
        <v>5</v>
      </c>
      <c r="B11" s="37">
        <v>33835014</v>
      </c>
      <c r="C11" s="89" t="s">
        <v>42</v>
      </c>
      <c r="D11" s="89"/>
      <c r="E11" s="89"/>
      <c r="F11" s="89"/>
      <c r="G11" s="89"/>
      <c r="H11" s="38">
        <v>2</v>
      </c>
      <c r="I11" s="38">
        <v>2</v>
      </c>
      <c r="J11" s="34"/>
    </row>
    <row r="12" spans="1:10" x14ac:dyDescent="0.25">
      <c r="A12" s="36">
        <v>6</v>
      </c>
      <c r="B12" s="37">
        <v>33837467</v>
      </c>
      <c r="C12" s="87" t="s">
        <v>43</v>
      </c>
      <c r="D12" s="87"/>
      <c r="E12" s="87"/>
      <c r="F12" s="87"/>
      <c r="G12" s="87"/>
      <c r="H12" s="38">
        <v>2</v>
      </c>
      <c r="I12" s="38">
        <v>2</v>
      </c>
      <c r="J12" s="34"/>
    </row>
    <row r="13" spans="1:10" x14ac:dyDescent="0.25">
      <c r="A13" s="36">
        <v>7</v>
      </c>
      <c r="B13" s="37">
        <v>33837706</v>
      </c>
      <c r="C13" s="87" t="s">
        <v>44</v>
      </c>
      <c r="D13" s="87"/>
      <c r="E13" s="87"/>
      <c r="F13" s="87"/>
      <c r="G13" s="87"/>
      <c r="H13" s="38">
        <v>2</v>
      </c>
      <c r="I13" s="38">
        <v>2</v>
      </c>
      <c r="J13" s="34"/>
    </row>
    <row r="14" spans="1:10" x14ac:dyDescent="0.25">
      <c r="A14" s="36">
        <v>8</v>
      </c>
      <c r="B14" s="37">
        <v>33841758</v>
      </c>
      <c r="C14" s="87" t="s">
        <v>45</v>
      </c>
      <c r="D14" s="87"/>
      <c r="E14" s="87"/>
      <c r="F14" s="87"/>
      <c r="G14" s="87"/>
      <c r="H14" s="38">
        <v>2</v>
      </c>
      <c r="I14" s="38">
        <v>2</v>
      </c>
      <c r="J14" s="34"/>
    </row>
    <row r="15" spans="1:10" x14ac:dyDescent="0.25">
      <c r="A15" s="36">
        <v>9</v>
      </c>
      <c r="B15" s="37">
        <v>33953315</v>
      </c>
      <c r="C15" s="87" t="s">
        <v>46</v>
      </c>
      <c r="D15" s="87"/>
      <c r="E15" s="87"/>
      <c r="F15" s="87"/>
      <c r="G15" s="87"/>
      <c r="H15" s="38">
        <v>2</v>
      </c>
      <c r="I15" s="38">
        <v>2</v>
      </c>
      <c r="J15" s="34"/>
    </row>
    <row r="16" spans="1:10" x14ac:dyDescent="0.25">
      <c r="A16" s="36">
        <v>10</v>
      </c>
      <c r="B16" s="37">
        <v>34100197</v>
      </c>
      <c r="C16" s="87" t="s">
        <v>47</v>
      </c>
      <c r="D16" s="87"/>
      <c r="E16" s="87"/>
      <c r="F16" s="87"/>
      <c r="G16" s="87"/>
      <c r="H16" s="38">
        <v>2</v>
      </c>
      <c r="I16" s="38">
        <v>2</v>
      </c>
      <c r="J16" s="34"/>
    </row>
    <row r="17" spans="1:10" x14ac:dyDescent="0.25">
      <c r="A17" s="36">
        <v>11</v>
      </c>
      <c r="B17" s="37">
        <v>34103638</v>
      </c>
      <c r="C17" s="87" t="s">
        <v>48</v>
      </c>
      <c r="D17" s="87"/>
      <c r="E17" s="87"/>
      <c r="F17" s="87"/>
      <c r="G17" s="87"/>
      <c r="H17" s="38">
        <v>2</v>
      </c>
      <c r="I17" s="38">
        <v>2</v>
      </c>
      <c r="J17" s="34"/>
    </row>
    <row r="18" spans="1:10" x14ac:dyDescent="0.25">
      <c r="A18" s="36">
        <v>12</v>
      </c>
      <c r="B18" s="37">
        <v>34103648</v>
      </c>
      <c r="C18" s="87" t="s">
        <v>49</v>
      </c>
      <c r="D18" s="87"/>
      <c r="E18" s="87"/>
      <c r="F18" s="87"/>
      <c r="G18" s="87"/>
      <c r="H18" s="38">
        <v>2</v>
      </c>
      <c r="I18" s="38">
        <v>2</v>
      </c>
      <c r="J18" s="34"/>
    </row>
    <row r="19" spans="1:10" x14ac:dyDescent="0.25">
      <c r="A19" s="36">
        <v>13</v>
      </c>
      <c r="B19" s="37">
        <v>34358700</v>
      </c>
      <c r="C19" s="87" t="s">
        <v>50</v>
      </c>
      <c r="D19" s="87"/>
      <c r="E19" s="87"/>
      <c r="F19" s="87"/>
      <c r="G19" s="87"/>
      <c r="H19" s="38">
        <v>2</v>
      </c>
      <c r="I19" s="38">
        <v>2</v>
      </c>
      <c r="J19" s="34"/>
    </row>
    <row r="20" spans="1:10" x14ac:dyDescent="0.25">
      <c r="A20" s="36">
        <v>14</v>
      </c>
      <c r="B20" s="37">
        <v>34492247</v>
      </c>
      <c r="C20" s="87" t="s">
        <v>51</v>
      </c>
      <c r="D20" s="87"/>
      <c r="E20" s="87"/>
      <c r="F20" s="87"/>
      <c r="G20" s="87"/>
      <c r="H20" s="38">
        <v>2</v>
      </c>
      <c r="I20" s="38">
        <v>2</v>
      </c>
      <c r="J20" s="34"/>
    </row>
    <row r="21" spans="1:10" x14ac:dyDescent="0.25">
      <c r="A21" s="36">
        <v>15</v>
      </c>
      <c r="B21" s="37">
        <v>34623737</v>
      </c>
      <c r="C21" s="87" t="s">
        <v>52</v>
      </c>
      <c r="D21" s="87"/>
      <c r="E21" s="87"/>
      <c r="F21" s="87"/>
      <c r="G21" s="87"/>
      <c r="H21" s="38">
        <v>2</v>
      </c>
      <c r="I21" s="38">
        <v>2</v>
      </c>
      <c r="J21" s="34"/>
    </row>
    <row r="22" spans="1:10" x14ac:dyDescent="0.25">
      <c r="A22" s="36">
        <v>16</v>
      </c>
      <c r="B22" s="37">
        <v>35211315</v>
      </c>
      <c r="C22" s="87" t="s">
        <v>53</v>
      </c>
      <c r="D22" s="87"/>
      <c r="E22" s="87"/>
      <c r="F22" s="87"/>
      <c r="G22" s="87"/>
      <c r="H22" s="38">
        <v>2</v>
      </c>
      <c r="I22" s="38">
        <v>2</v>
      </c>
      <c r="J22" s="34"/>
    </row>
    <row r="38" spans="3:5" x14ac:dyDescent="0.25">
      <c r="C38" s="1"/>
      <c r="D38" s="1"/>
      <c r="E38" s="1"/>
    </row>
    <row r="39" spans="3:5" x14ac:dyDescent="0.25">
      <c r="C39" s="1"/>
      <c r="D39" s="1"/>
      <c r="E39" s="1"/>
    </row>
    <row r="40" spans="3:5" x14ac:dyDescent="0.25">
      <c r="C40" s="1"/>
      <c r="D40" s="1"/>
      <c r="E40" s="1"/>
    </row>
    <row r="41" spans="3:5" x14ac:dyDescent="0.25">
      <c r="C41" s="1"/>
      <c r="D41" s="1"/>
      <c r="E41" s="1"/>
    </row>
    <row r="42" spans="3:5" x14ac:dyDescent="0.25">
      <c r="C42" s="1"/>
      <c r="D42" s="1"/>
      <c r="E42" s="1"/>
    </row>
    <row r="43" spans="3:5" x14ac:dyDescent="0.25">
      <c r="C43" s="1"/>
      <c r="D43" s="1"/>
      <c r="E43" s="1"/>
    </row>
    <row r="44" spans="3:5" x14ac:dyDescent="0.25">
      <c r="C44" s="1"/>
      <c r="D44" s="1"/>
      <c r="E44" s="1"/>
    </row>
    <row r="45" spans="3:5" x14ac:dyDescent="0.25">
      <c r="C45" s="1"/>
      <c r="D45" s="1"/>
      <c r="E45" s="1"/>
    </row>
    <row r="46" spans="3:5" x14ac:dyDescent="0.25">
      <c r="C46" s="1"/>
      <c r="D46" s="1"/>
      <c r="E46" s="1"/>
    </row>
    <row r="47" spans="3:5" x14ac:dyDescent="0.25">
      <c r="C47" s="1"/>
      <c r="D47" s="1"/>
      <c r="E47" s="1"/>
    </row>
    <row r="48" spans="3:5" x14ac:dyDescent="0.25">
      <c r="C48" s="1"/>
      <c r="D48" s="1"/>
      <c r="E48" s="1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  <row r="51" spans="3:5" x14ac:dyDescent="0.25">
      <c r="C51" s="1"/>
      <c r="D51" s="1"/>
      <c r="E51" s="1"/>
    </row>
    <row r="52" spans="3:5" x14ac:dyDescent="0.25">
      <c r="C52" s="1"/>
      <c r="D52" s="1"/>
      <c r="E52" s="1"/>
    </row>
    <row r="53" spans="3:5" x14ac:dyDescent="0.25">
      <c r="C53" s="1"/>
      <c r="D53" s="1"/>
      <c r="E53" s="1"/>
    </row>
    <row r="54" spans="3:5" x14ac:dyDescent="0.25">
      <c r="C54" s="1"/>
      <c r="D54" s="1"/>
      <c r="E54" s="1"/>
    </row>
    <row r="55" spans="3:5" x14ac:dyDescent="0.25">
      <c r="C55" s="1"/>
      <c r="D55" s="1"/>
      <c r="E55" s="1"/>
    </row>
    <row r="56" spans="3:5" x14ac:dyDescent="0.25">
      <c r="C56" s="1"/>
      <c r="D56" s="1"/>
      <c r="E56" s="1"/>
    </row>
    <row r="57" spans="3:5" x14ac:dyDescent="0.25">
      <c r="C57" s="1" t="str">
        <f t="shared" ref="C57" si="0">UPPER(C27)</f>
        <v/>
      </c>
      <c r="D57" s="1"/>
      <c r="E57" s="1"/>
    </row>
  </sheetData>
  <mergeCells count="17">
    <mergeCell ref="C6:G6"/>
    <mergeCell ref="C15:G15"/>
    <mergeCell ref="C14:G14"/>
    <mergeCell ref="C13:G13"/>
    <mergeCell ref="C12:G12"/>
    <mergeCell ref="C11:G11"/>
    <mergeCell ref="C10:G10"/>
    <mergeCell ref="C9:G9"/>
    <mergeCell ref="C8:G8"/>
    <mergeCell ref="C7:G7"/>
    <mergeCell ref="C17:G17"/>
    <mergeCell ref="C16:G16"/>
    <mergeCell ref="C22:G22"/>
    <mergeCell ref="C21:G21"/>
    <mergeCell ref="C20:G20"/>
    <mergeCell ref="C19:G19"/>
    <mergeCell ref="C18:G18"/>
  </mergeCells>
  <conditionalFormatting sqref="H7:I22 J7">
    <cfRule type="iconSet" priority="1">
      <iconSet iconSet="3Symbols2" showValue="0">
        <cfvo type="percent" val="0"/>
        <cfvo type="num" val="0" gte="0"/>
        <cfvo type="num" val="2"/>
      </iconSet>
    </cfRule>
  </conditionalFormatting>
  <hyperlinks>
    <hyperlink ref="C7:G7" location="SEBASTIAN!Área_de_impresión" display="GONZÁLEZ VALLENILLA SEBASTIÁN JOSÉ"/>
    <hyperlink ref="C8:G8" location="SANTIAGO!Área_de_impresión" display="GONZÁLEZ VALLENILLA SANTIAGO ALEJANDRO"/>
    <hyperlink ref="C10:G10" location="VICTOR!Área_de_impresión" display="JIMÉNEZ MORALES VÍCTOR SAMUEL"/>
    <hyperlink ref="C12:G12" location="FRANCISCO!Área_de_impresión" display="VELÁSQUEZ GUERRA FRANCISCO ALEJANDRO"/>
    <hyperlink ref="C13:G13" location="MAXIMILIANO!Área_de_impresión" display="CANELON CENTENO MAXIMILIANO"/>
    <hyperlink ref="C14:G14" location="JESUS!Área_de_impresión" display="HERNANDEZ RUIZ JESUS RAMON"/>
    <hyperlink ref="C15:G15" location="ROJAS!Área_de_impresión" display="ROJAS RODRÍGUEZ MICHELYS DE LOS ANGELES"/>
    <hyperlink ref="C16:G16" location="VICTORIA!Área_de_impresión" display="CARABALLO CABELLO VICTORIA SOFÍA"/>
    <hyperlink ref="C17:G17" location="DARYA!Área_de_impresión" display="RODRÍGUEZ BOLIVAR DARYANA DE LOS ANGELES"/>
    <hyperlink ref="C18:G18" location="JOSE!Área_de_impresión" display="ANTÓN RODRÍGUEZ JOSÉ GABRIEL"/>
    <hyperlink ref="C19:G19" location="FABIANA!Área_de_impresión" display="FUENTES MOSQUEDA FABIANA VALENTINA"/>
    <hyperlink ref="C20:G20" location="CESAR!Área_de_impresión" display="MARTÍNEZ CABRERA CESAR ERNESTO"/>
    <hyperlink ref="C21:G21" location="ABBOUD!Área_de_impresión" display="ABBOUD LEANDRO FRANCISCO AZIZ"/>
    <hyperlink ref="C22:G22" location="LUCIANO!Área_de_impresión" display="RODRÍGUEZ BENÍTEZ LUCIANO ALESSANDRO"/>
    <hyperlink ref="C11:G11" location="ANDRES!Área_de_impresión" display="SANTIAGO FIGUEROA ANDRES EMILIO"/>
    <hyperlink ref="C9:G9" location="VENEZIA!Área_de_impresión" display="CHACOA SOSA VENEZI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10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2851562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2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60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34101717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7" t="s">
        <v>54</v>
      </c>
      <c r="H12" s="157"/>
      <c r="I12" s="157"/>
      <c r="J12" s="157"/>
      <c r="K12" s="157"/>
      <c r="L12" s="157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40982</v>
      </c>
      <c r="H13" s="158"/>
      <c r="I13" s="158"/>
      <c r="J13" s="158"/>
      <c r="K13" s="158"/>
      <c r="L13" s="158"/>
      <c r="M13" s="3" t="s">
        <v>6</v>
      </c>
      <c r="N13" s="161" t="s">
        <v>98</v>
      </c>
      <c r="O13" s="161"/>
      <c r="P13" s="6" t="s">
        <v>7</v>
      </c>
      <c r="Q13" s="6"/>
      <c r="R13" s="74" t="s">
        <v>25</v>
      </c>
      <c r="S13" s="18"/>
      <c r="T13" s="29"/>
      <c r="U13" s="29"/>
      <c r="V13" s="29"/>
      <c r="W13" s="2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59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0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37">
        <v>17</v>
      </c>
      <c r="K19" s="138"/>
      <c r="L19" s="138"/>
      <c r="M19" s="139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15</v>
      </c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15</v>
      </c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19</v>
      </c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16</v>
      </c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16</v>
      </c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15</v>
      </c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14</v>
      </c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15.875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28"/>
      <c r="U29" s="28"/>
      <c r="V29" s="28"/>
      <c r="W29" s="28"/>
    </row>
    <row r="30" spans="1:23" ht="23.25" customHeight="1" thickTop="1" thickBot="1" x14ac:dyDescent="0.3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19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Top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99">
        <v>18</v>
      </c>
      <c r="K31" s="100"/>
      <c r="L31" s="100"/>
      <c r="M31" s="10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G11:M11"/>
    <mergeCell ref="N12:O12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 vertic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16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2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61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34104337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40917</v>
      </c>
      <c r="H13" s="158"/>
      <c r="I13" s="158"/>
      <c r="J13" s="158"/>
      <c r="K13" s="158"/>
      <c r="L13" s="158"/>
      <c r="M13" s="3" t="s">
        <v>6</v>
      </c>
      <c r="N13" s="161" t="s">
        <v>98</v>
      </c>
      <c r="O13" s="161"/>
      <c r="P13" s="6" t="s">
        <v>7</v>
      </c>
      <c r="Q13" s="6"/>
      <c r="R13" s="78" t="s">
        <v>25</v>
      </c>
      <c r="S13" s="18"/>
      <c r="T13" s="29"/>
      <c r="U13" s="29"/>
      <c r="V13" s="29"/>
      <c r="W13" s="2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62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0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19</v>
      </c>
      <c r="K19" s="140"/>
      <c r="L19" s="140"/>
      <c r="M19" s="141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15</v>
      </c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14</v>
      </c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18</v>
      </c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16</v>
      </c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16</v>
      </c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14</v>
      </c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10</v>
      </c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15.25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28"/>
      <c r="U29" s="28"/>
      <c r="V29" s="28"/>
      <c r="W29" s="28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17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14</v>
      </c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topLeftCell="A11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2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99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34269103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100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40970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29"/>
      <c r="U13" s="29"/>
      <c r="V13" s="29"/>
      <c r="W13" s="2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103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0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16</v>
      </c>
      <c r="K19" s="140"/>
      <c r="L19" s="140"/>
      <c r="M19" s="141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18</v>
      </c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15</v>
      </c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19</v>
      </c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12</v>
      </c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15</v>
      </c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15</v>
      </c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16</v>
      </c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15.75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28"/>
      <c r="U29" s="28"/>
      <c r="V29" s="28"/>
      <c r="W29" s="28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18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18</v>
      </c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 vertic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7" zoomScale="86" zoomScaleNormal="100" zoomScalePageLayoutView="86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2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63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34622225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7" t="s">
        <v>54</v>
      </c>
      <c r="H12" s="157"/>
      <c r="I12" s="157"/>
      <c r="J12" s="157"/>
      <c r="K12" s="157"/>
      <c r="L12" s="157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41208</v>
      </c>
      <c r="H13" s="158"/>
      <c r="I13" s="158"/>
      <c r="J13" s="158"/>
      <c r="K13" s="158"/>
      <c r="L13" s="158"/>
      <c r="M13" s="3" t="s">
        <v>6</v>
      </c>
      <c r="N13" s="175" t="s">
        <v>58</v>
      </c>
      <c r="O13" s="175"/>
      <c r="P13" s="6" t="s">
        <v>7</v>
      </c>
      <c r="Q13" s="6"/>
      <c r="R13" s="78" t="s">
        <v>25</v>
      </c>
      <c r="S13" s="18"/>
      <c r="T13" s="29"/>
      <c r="U13" s="29"/>
      <c r="V13" s="29"/>
      <c r="W13" s="2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64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0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92">
        <v>13</v>
      </c>
      <c r="K19" s="157"/>
      <c r="L19" s="157"/>
      <c r="M19" s="193"/>
      <c r="N19" s="157"/>
      <c r="O19" s="157"/>
      <c r="P19" s="157"/>
      <c r="Q19" s="193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85">
        <v>13</v>
      </c>
      <c r="K20" s="158"/>
      <c r="L20" s="158"/>
      <c r="M20" s="186"/>
      <c r="N20" s="158"/>
      <c r="O20" s="158"/>
      <c r="P20" s="158"/>
      <c r="Q20" s="186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85">
        <v>13</v>
      </c>
      <c r="K21" s="158"/>
      <c r="L21" s="158"/>
      <c r="M21" s="186"/>
      <c r="N21" s="158"/>
      <c r="O21" s="158"/>
      <c r="P21" s="158"/>
      <c r="Q21" s="186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85">
        <v>18</v>
      </c>
      <c r="K22" s="158"/>
      <c r="L22" s="158"/>
      <c r="M22" s="186"/>
      <c r="N22" s="158"/>
      <c r="O22" s="158"/>
      <c r="P22" s="158"/>
      <c r="Q22" s="186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85">
        <v>12</v>
      </c>
      <c r="K23" s="158"/>
      <c r="L23" s="158"/>
      <c r="M23" s="186"/>
      <c r="N23" s="158"/>
      <c r="O23" s="158"/>
      <c r="P23" s="158"/>
      <c r="Q23" s="186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85">
        <v>14</v>
      </c>
      <c r="K24" s="158"/>
      <c r="L24" s="158"/>
      <c r="M24" s="186"/>
      <c r="N24" s="158"/>
      <c r="O24" s="158"/>
      <c r="P24" s="158"/>
      <c r="Q24" s="186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85">
        <v>8</v>
      </c>
      <c r="K25" s="158"/>
      <c r="L25" s="158"/>
      <c r="M25" s="186"/>
      <c r="N25" s="158"/>
      <c r="O25" s="158"/>
      <c r="P25" s="158"/>
      <c r="Q25" s="186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85">
        <v>16</v>
      </c>
      <c r="K26" s="158"/>
      <c r="L26" s="158"/>
      <c r="M26" s="186"/>
      <c r="N26" s="185"/>
      <c r="O26" s="158"/>
      <c r="P26" s="158"/>
      <c r="Q26" s="186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87">
        <f>AVERAGE(J19:M26)</f>
        <v>13.375</v>
      </c>
      <c r="K27" s="188"/>
      <c r="L27" s="188"/>
      <c r="M27" s="189"/>
      <c r="N27" s="190"/>
      <c r="O27" s="190"/>
      <c r="P27" s="190"/>
      <c r="Q27" s="191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79" t="s">
        <v>29</v>
      </c>
      <c r="K29" s="180"/>
      <c r="L29" s="180"/>
      <c r="M29" s="181"/>
      <c r="N29" s="108" t="s">
        <v>20</v>
      </c>
      <c r="O29" s="108"/>
      <c r="P29" s="108"/>
      <c r="Q29" s="109"/>
      <c r="R29" s="2"/>
      <c r="S29" s="17"/>
      <c r="T29" s="28"/>
      <c r="U29" s="28"/>
      <c r="V29" s="28"/>
      <c r="W29" s="28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182">
        <v>19</v>
      </c>
      <c r="K30" s="183"/>
      <c r="L30" s="183"/>
      <c r="M30" s="184"/>
      <c r="N30" s="183"/>
      <c r="O30" s="183"/>
      <c r="P30" s="183"/>
      <c r="Q30" s="184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8"/>
      <c r="K31" s="176"/>
      <c r="L31" s="176"/>
      <c r="M31" s="177"/>
      <c r="N31" s="176"/>
      <c r="O31" s="176"/>
      <c r="P31" s="176"/>
      <c r="Q31" s="177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1:M11"/>
    <mergeCell ref="G13:L13"/>
    <mergeCell ref="N13:O13"/>
    <mergeCell ref="M15:O15"/>
    <mergeCell ref="G15:L15"/>
    <mergeCell ref="N11:O11"/>
    <mergeCell ref="N12:O12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 vertic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showWhiteSpace="0" view="pageLayout" topLeftCell="A10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</row>
    <row r="2" spans="1:23" x14ac:dyDescent="0.25">
      <c r="A2" s="6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63"/>
    </row>
    <row r="3" spans="1:23" x14ac:dyDescent="0.25">
      <c r="A3" s="6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3"/>
    </row>
    <row r="4" spans="1:23" ht="7.5" customHeight="1" x14ac:dyDescent="0.25">
      <c r="A4" s="6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63"/>
    </row>
    <row r="5" spans="1:23" ht="20.25" customHeight="1" x14ac:dyDescent="0.25">
      <c r="A5" s="194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95"/>
    </row>
    <row r="6" spans="1:23" ht="18.75" customHeight="1" x14ac:dyDescent="0.25">
      <c r="A6" s="196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97"/>
      <c r="T6" s="2"/>
      <c r="U6" s="2"/>
      <c r="V6" s="2"/>
      <c r="W6" s="2"/>
    </row>
    <row r="7" spans="1:23" ht="15.75" customHeight="1" x14ac:dyDescent="0.25">
      <c r="A7" s="6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86"/>
      <c r="T7" s="171"/>
      <c r="U7" s="171"/>
      <c r="V7" s="171"/>
      <c r="W7" s="171"/>
    </row>
    <row r="8" spans="1:23" ht="31.5" customHeight="1" x14ac:dyDescent="0.25">
      <c r="A8" s="6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63"/>
      <c r="T8" s="172"/>
      <c r="U8" s="172"/>
      <c r="V8" s="172"/>
      <c r="W8" s="172"/>
    </row>
    <row r="9" spans="1:23" ht="18" customHeight="1" x14ac:dyDescent="0.25">
      <c r="A9" s="6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3"/>
      <c r="T9" s="159"/>
      <c r="U9" s="159"/>
      <c r="V9" s="159"/>
      <c r="W9" s="73"/>
    </row>
    <row r="10" spans="1:23" ht="3.75" customHeight="1" x14ac:dyDescent="0.25">
      <c r="A10" s="6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63"/>
      <c r="T10" s="159"/>
      <c r="U10" s="159"/>
      <c r="V10" s="159"/>
      <c r="W10" s="8"/>
    </row>
    <row r="11" spans="1:23" ht="21" customHeight="1" x14ac:dyDescent="0.25">
      <c r="A11" s="62"/>
      <c r="B11" s="3" t="s">
        <v>2</v>
      </c>
      <c r="C11" s="3"/>
      <c r="D11" s="3"/>
      <c r="E11" s="3"/>
      <c r="F11" s="3"/>
      <c r="G11" s="164" t="s">
        <v>67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34624091</v>
      </c>
      <c r="Q11" s="157"/>
      <c r="R11" s="157"/>
      <c r="S11" s="64"/>
      <c r="T11" s="132"/>
      <c r="U11" s="132"/>
      <c r="V11" s="132"/>
      <c r="W11" s="132"/>
    </row>
    <row r="12" spans="1:23" ht="21" customHeight="1" x14ac:dyDescent="0.25">
      <c r="A12" s="62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65"/>
      <c r="T12" s="159"/>
      <c r="U12" s="159"/>
      <c r="V12" s="159"/>
      <c r="W12" s="159"/>
    </row>
    <row r="13" spans="1:23" ht="21" customHeight="1" x14ac:dyDescent="0.25">
      <c r="A13" s="62"/>
      <c r="B13" s="4" t="s">
        <v>5</v>
      </c>
      <c r="C13" s="3"/>
      <c r="D13" s="5"/>
      <c r="E13" s="5"/>
      <c r="F13" s="5"/>
      <c r="G13" s="160">
        <v>41254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64"/>
      <c r="T13" s="73"/>
      <c r="U13" s="73"/>
      <c r="V13" s="73"/>
      <c r="W13" s="73"/>
    </row>
    <row r="14" spans="1:23" ht="21" customHeight="1" x14ac:dyDescent="0.25">
      <c r="A14" s="6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68</v>
      </c>
      <c r="L14" s="157"/>
      <c r="M14" s="157"/>
      <c r="N14" s="157"/>
      <c r="O14" s="157"/>
      <c r="P14" s="157"/>
      <c r="Q14" s="157"/>
      <c r="R14" s="157"/>
      <c r="S14" s="66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67"/>
      <c r="B16" s="4"/>
      <c r="C16" s="4"/>
      <c r="D16" s="4"/>
      <c r="E16" s="4"/>
      <c r="F16" s="4"/>
      <c r="G16" s="142"/>
      <c r="H16" s="142"/>
      <c r="I16" s="85"/>
      <c r="J16" s="4"/>
      <c r="K16" s="4"/>
      <c r="L16" s="4"/>
      <c r="M16" s="5"/>
      <c r="N16" s="5"/>
      <c r="O16" s="5"/>
      <c r="P16" s="5"/>
      <c r="Q16" s="5"/>
      <c r="R16" s="5"/>
      <c r="S16" s="68"/>
      <c r="T16" s="131"/>
      <c r="U16" s="131"/>
      <c r="V16" s="132"/>
      <c r="W16" s="132"/>
    </row>
    <row r="17" spans="1:23" ht="31.5" customHeight="1" thickTop="1" thickBot="1" x14ac:dyDescent="0.3">
      <c r="A17" s="67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69"/>
      <c r="T17" s="10"/>
      <c r="U17" s="10"/>
      <c r="V17" s="132"/>
      <c r="W17" s="132"/>
    </row>
    <row r="18" spans="1:23" ht="31.5" customHeight="1" thickTop="1" thickBot="1" x14ac:dyDescent="0.3">
      <c r="A18" s="67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68"/>
      <c r="T18" s="131"/>
      <c r="U18" s="131"/>
      <c r="V18" s="132"/>
      <c r="W18" s="132"/>
    </row>
    <row r="19" spans="1:23" ht="23.25" customHeight="1" thickTop="1" x14ac:dyDescent="0.25">
      <c r="A19" s="62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17</v>
      </c>
      <c r="K19" s="140"/>
      <c r="L19" s="140"/>
      <c r="M19" s="141"/>
      <c r="N19" s="140"/>
      <c r="O19" s="140"/>
      <c r="P19" s="140"/>
      <c r="Q19" s="141"/>
      <c r="R19" s="2"/>
      <c r="S19" s="63"/>
      <c r="T19" s="131"/>
      <c r="U19" s="131"/>
      <c r="V19" s="132"/>
      <c r="W19" s="132"/>
    </row>
    <row r="20" spans="1:23" ht="23.25" customHeight="1" x14ac:dyDescent="0.25">
      <c r="A20" s="62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14</v>
      </c>
      <c r="K20" s="117"/>
      <c r="L20" s="117"/>
      <c r="M20" s="118"/>
      <c r="N20" s="117"/>
      <c r="O20" s="117"/>
      <c r="P20" s="117"/>
      <c r="Q20" s="118"/>
      <c r="R20" s="2"/>
      <c r="S20" s="63"/>
      <c r="T20" s="131"/>
      <c r="U20" s="131"/>
      <c r="V20" s="132"/>
      <c r="W20" s="132"/>
    </row>
    <row r="21" spans="1:23" ht="23.25" customHeight="1" x14ac:dyDescent="0.25">
      <c r="A21" s="62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14</v>
      </c>
      <c r="K21" s="117"/>
      <c r="L21" s="117"/>
      <c r="M21" s="118"/>
      <c r="N21" s="117"/>
      <c r="O21" s="117"/>
      <c r="P21" s="117"/>
      <c r="Q21" s="118"/>
      <c r="R21" s="2"/>
      <c r="S21" s="63"/>
      <c r="T21" s="131"/>
      <c r="U21" s="131"/>
      <c r="V21" s="132"/>
      <c r="W21" s="132"/>
    </row>
    <row r="22" spans="1:23" ht="23.25" customHeight="1" x14ac:dyDescent="0.25">
      <c r="A22" s="62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18</v>
      </c>
      <c r="K22" s="117"/>
      <c r="L22" s="117"/>
      <c r="M22" s="118"/>
      <c r="N22" s="117"/>
      <c r="O22" s="117"/>
      <c r="P22" s="117"/>
      <c r="Q22" s="118"/>
      <c r="R22" s="2"/>
      <c r="S22" s="63"/>
      <c r="T22" s="131"/>
      <c r="U22" s="131"/>
      <c r="V22" s="132"/>
      <c r="W22" s="132"/>
    </row>
    <row r="23" spans="1:23" ht="23.25" customHeight="1" x14ac:dyDescent="0.25">
      <c r="A23" s="62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13</v>
      </c>
      <c r="K23" s="117"/>
      <c r="L23" s="117"/>
      <c r="M23" s="118"/>
      <c r="N23" s="117"/>
      <c r="O23" s="117"/>
      <c r="P23" s="117"/>
      <c r="Q23" s="118"/>
      <c r="R23" s="2"/>
      <c r="S23" s="63"/>
      <c r="T23" s="131"/>
      <c r="U23" s="131"/>
      <c r="V23" s="132"/>
      <c r="W23" s="132"/>
    </row>
    <row r="24" spans="1:23" ht="23.25" customHeight="1" x14ac:dyDescent="0.25">
      <c r="A24" s="62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14</v>
      </c>
      <c r="K24" s="117"/>
      <c r="L24" s="117"/>
      <c r="M24" s="118"/>
      <c r="N24" s="117"/>
      <c r="O24" s="117"/>
      <c r="P24" s="117"/>
      <c r="Q24" s="118"/>
      <c r="R24" s="2"/>
      <c r="S24" s="63"/>
      <c r="T24" s="133"/>
      <c r="U24" s="133"/>
      <c r="V24" s="132"/>
      <c r="W24" s="132"/>
    </row>
    <row r="25" spans="1:23" ht="23.25" customHeight="1" x14ac:dyDescent="0.25">
      <c r="A25" s="62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14</v>
      </c>
      <c r="K25" s="117"/>
      <c r="L25" s="117"/>
      <c r="M25" s="118"/>
      <c r="N25" s="117"/>
      <c r="O25" s="117"/>
      <c r="P25" s="117"/>
      <c r="Q25" s="118"/>
      <c r="R25" s="2"/>
      <c r="S25" s="63"/>
      <c r="T25" s="119"/>
      <c r="U25" s="119"/>
      <c r="V25" s="119"/>
      <c r="W25" s="119"/>
    </row>
    <row r="26" spans="1:23" ht="23.25" customHeight="1" x14ac:dyDescent="0.25">
      <c r="A26" s="62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14</v>
      </c>
      <c r="K26" s="117"/>
      <c r="L26" s="117"/>
      <c r="M26" s="118"/>
      <c r="N26" s="116"/>
      <c r="O26" s="117"/>
      <c r="P26" s="117"/>
      <c r="Q26" s="118"/>
      <c r="R26" s="2"/>
      <c r="S26" s="63"/>
      <c r="T26" s="77"/>
      <c r="U26" s="77"/>
      <c r="V26" s="77"/>
      <c r="W26" s="77"/>
    </row>
    <row r="27" spans="1:23" ht="23.25" customHeight="1" thickBot="1" x14ac:dyDescent="0.3">
      <c r="A27" s="62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14.75</v>
      </c>
      <c r="K27" s="124"/>
      <c r="L27" s="124"/>
      <c r="M27" s="125"/>
      <c r="N27" s="126"/>
      <c r="O27" s="126"/>
      <c r="P27" s="126"/>
      <c r="Q27" s="127"/>
      <c r="R27" s="2"/>
      <c r="S27" s="63"/>
      <c r="T27" s="92"/>
      <c r="U27" s="92"/>
      <c r="V27" s="92"/>
      <c r="W27" s="92"/>
    </row>
    <row r="28" spans="1:23" ht="6" customHeight="1" thickTop="1" thickBot="1" x14ac:dyDescent="0.3">
      <c r="A28" s="62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63"/>
      <c r="T28" s="92"/>
      <c r="U28" s="92"/>
      <c r="V28" s="92"/>
      <c r="W28" s="92"/>
    </row>
    <row r="29" spans="1:23" ht="23.25" customHeight="1" thickTop="1" thickBot="1" x14ac:dyDescent="0.3">
      <c r="A29" s="62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63"/>
      <c r="T29" s="76"/>
      <c r="U29" s="76"/>
      <c r="V29" s="76"/>
      <c r="W29" s="76"/>
    </row>
    <row r="30" spans="1:23" ht="23.25" customHeight="1" thickTop="1" x14ac:dyDescent="0.25">
      <c r="A30" s="62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20</v>
      </c>
      <c r="K30" s="100"/>
      <c r="L30" s="100"/>
      <c r="M30" s="101"/>
      <c r="N30" s="100"/>
      <c r="O30" s="100"/>
      <c r="P30" s="100"/>
      <c r="Q30" s="101"/>
      <c r="R30" s="2"/>
      <c r="S30" s="63"/>
      <c r="T30" s="92"/>
      <c r="U30" s="92"/>
      <c r="V30" s="92"/>
      <c r="W30" s="92"/>
    </row>
    <row r="31" spans="1:23" ht="27" customHeight="1" thickBot="1" x14ac:dyDescent="0.3">
      <c r="A31" s="62"/>
      <c r="B31" s="2"/>
      <c r="C31" s="95" t="s">
        <v>28</v>
      </c>
      <c r="D31" s="96"/>
      <c r="E31" s="96"/>
      <c r="F31" s="96"/>
      <c r="G31" s="97"/>
      <c r="H31" s="97"/>
      <c r="I31" s="98"/>
      <c r="J31" s="173"/>
      <c r="K31" s="90"/>
      <c r="L31" s="90"/>
      <c r="M31" s="91"/>
      <c r="N31" s="90"/>
      <c r="O31" s="90"/>
      <c r="P31" s="90"/>
      <c r="Q31" s="91"/>
      <c r="R31" s="2"/>
      <c r="S31" s="63"/>
      <c r="T31" s="92"/>
      <c r="U31" s="92"/>
      <c r="V31" s="92"/>
      <c r="W31" s="92"/>
    </row>
    <row r="32" spans="1:23" ht="42.75" customHeight="1" thickTop="1" x14ac:dyDescent="0.25">
      <c r="A32" s="62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63"/>
      <c r="T32" s="92"/>
      <c r="U32" s="92"/>
      <c r="V32" s="92"/>
      <c r="W32" s="92"/>
    </row>
    <row r="33" spans="1:19" ht="30" customHeight="1" thickBot="1" x14ac:dyDescent="0.3">
      <c r="A33" s="70"/>
      <c r="B33" s="71"/>
      <c r="C33" s="71"/>
      <c r="D33" s="71"/>
      <c r="E33" s="71"/>
      <c r="F33" s="71"/>
      <c r="G33" s="83"/>
      <c r="H33" s="83"/>
      <c r="I33" s="83"/>
      <c r="J33" s="84" t="s">
        <v>23</v>
      </c>
      <c r="K33" s="71"/>
      <c r="L33" s="71"/>
      <c r="M33" s="71"/>
      <c r="N33" s="71"/>
      <c r="O33" s="71"/>
      <c r="P33" s="71"/>
      <c r="Q33" s="71"/>
      <c r="R33" s="71"/>
      <c r="S33" s="72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K14:R14"/>
    <mergeCell ref="G15:L15"/>
    <mergeCell ref="M15:O15"/>
    <mergeCell ref="P15:R15"/>
    <mergeCell ref="G11:M11"/>
    <mergeCell ref="N11:O11"/>
    <mergeCell ref="P11:R11"/>
    <mergeCell ref="T11:W11"/>
    <mergeCell ref="G12:L12"/>
    <mergeCell ref="N12:O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14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2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65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34624545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41054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29"/>
      <c r="U13" s="29"/>
      <c r="V13" s="29"/>
      <c r="W13" s="2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66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0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92">
        <v>16</v>
      </c>
      <c r="K19" s="157"/>
      <c r="L19" s="157"/>
      <c r="M19" s="193"/>
      <c r="N19" s="157"/>
      <c r="O19" s="157"/>
      <c r="P19" s="157"/>
      <c r="Q19" s="193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85">
        <v>17</v>
      </c>
      <c r="K20" s="158"/>
      <c r="L20" s="158"/>
      <c r="M20" s="186"/>
      <c r="N20" s="158"/>
      <c r="O20" s="158"/>
      <c r="P20" s="158"/>
      <c r="Q20" s="186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85">
        <v>17</v>
      </c>
      <c r="K21" s="158"/>
      <c r="L21" s="158"/>
      <c r="M21" s="186"/>
      <c r="N21" s="158"/>
      <c r="O21" s="158"/>
      <c r="P21" s="158"/>
      <c r="Q21" s="186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85">
        <v>19</v>
      </c>
      <c r="K22" s="158"/>
      <c r="L22" s="158"/>
      <c r="M22" s="186"/>
      <c r="N22" s="158"/>
      <c r="O22" s="158"/>
      <c r="P22" s="158"/>
      <c r="Q22" s="186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85">
        <v>18</v>
      </c>
      <c r="K23" s="158"/>
      <c r="L23" s="158"/>
      <c r="M23" s="186"/>
      <c r="N23" s="158"/>
      <c r="O23" s="158"/>
      <c r="P23" s="158"/>
      <c r="Q23" s="186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85">
        <v>18</v>
      </c>
      <c r="K24" s="158"/>
      <c r="L24" s="158"/>
      <c r="M24" s="186"/>
      <c r="N24" s="158"/>
      <c r="O24" s="158"/>
      <c r="P24" s="158"/>
      <c r="Q24" s="186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85">
        <v>17</v>
      </c>
      <c r="K25" s="158"/>
      <c r="L25" s="158"/>
      <c r="M25" s="186"/>
      <c r="N25" s="158"/>
      <c r="O25" s="158"/>
      <c r="P25" s="158"/>
      <c r="Q25" s="186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85">
        <v>15</v>
      </c>
      <c r="K26" s="158"/>
      <c r="L26" s="158"/>
      <c r="M26" s="186"/>
      <c r="N26" s="185"/>
      <c r="O26" s="158"/>
      <c r="P26" s="158"/>
      <c r="Q26" s="186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87">
        <f>AVERAGE(J19:M26)</f>
        <v>17.125</v>
      </c>
      <c r="K27" s="188"/>
      <c r="L27" s="188"/>
      <c r="M27" s="189"/>
      <c r="N27" s="190"/>
      <c r="O27" s="190"/>
      <c r="P27" s="190"/>
      <c r="Q27" s="191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79" t="s">
        <v>29</v>
      </c>
      <c r="K29" s="180"/>
      <c r="L29" s="180"/>
      <c r="M29" s="181"/>
      <c r="N29" s="108" t="s">
        <v>20</v>
      </c>
      <c r="O29" s="108"/>
      <c r="P29" s="108"/>
      <c r="Q29" s="109"/>
      <c r="R29" s="2"/>
      <c r="S29" s="17"/>
      <c r="T29" s="28"/>
      <c r="U29" s="28"/>
      <c r="V29" s="28"/>
      <c r="W29" s="28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182">
        <v>16</v>
      </c>
      <c r="K30" s="183"/>
      <c r="L30" s="183"/>
      <c r="M30" s="184"/>
      <c r="N30" s="183"/>
      <c r="O30" s="183"/>
      <c r="P30" s="183"/>
      <c r="Q30" s="184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8">
        <v>18</v>
      </c>
      <c r="K31" s="176"/>
      <c r="L31" s="176"/>
      <c r="M31" s="177"/>
      <c r="N31" s="176"/>
      <c r="O31" s="176"/>
      <c r="P31" s="176"/>
      <c r="Q31" s="177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showWhiteSpace="0" view="pageLayout" zoomScaleNormal="100" workbookViewId="0">
      <selection activeCell="T30" sqref="T29:U30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33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69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34625755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41264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33"/>
      <c r="U13" s="33"/>
      <c r="V13" s="33"/>
      <c r="W13" s="33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70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1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17</v>
      </c>
      <c r="K19" s="140"/>
      <c r="L19" s="140"/>
      <c r="M19" s="141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16</v>
      </c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14</v>
      </c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20</v>
      </c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13</v>
      </c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16</v>
      </c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14</v>
      </c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15</v>
      </c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15.625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32"/>
      <c r="U29" s="32"/>
      <c r="V29" s="32"/>
      <c r="W29" s="32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19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15</v>
      </c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T28:U28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2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71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34635124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41254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29"/>
      <c r="U13" s="29"/>
      <c r="V13" s="29"/>
      <c r="W13" s="2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72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0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92">
        <v>14</v>
      </c>
      <c r="K19" s="157"/>
      <c r="L19" s="157"/>
      <c r="M19" s="193"/>
      <c r="N19" s="157"/>
      <c r="O19" s="157"/>
      <c r="P19" s="157"/>
      <c r="Q19" s="193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85">
        <v>14</v>
      </c>
      <c r="K20" s="158"/>
      <c r="L20" s="158"/>
      <c r="M20" s="186"/>
      <c r="N20" s="158"/>
      <c r="O20" s="158"/>
      <c r="P20" s="158"/>
      <c r="Q20" s="186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85">
        <v>15</v>
      </c>
      <c r="K21" s="158"/>
      <c r="L21" s="158"/>
      <c r="M21" s="186"/>
      <c r="N21" s="158"/>
      <c r="O21" s="158"/>
      <c r="P21" s="158"/>
      <c r="Q21" s="186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85">
        <v>17</v>
      </c>
      <c r="K22" s="158"/>
      <c r="L22" s="158"/>
      <c r="M22" s="186"/>
      <c r="N22" s="158"/>
      <c r="O22" s="158"/>
      <c r="P22" s="158"/>
      <c r="Q22" s="186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85">
        <v>15</v>
      </c>
      <c r="K23" s="158"/>
      <c r="L23" s="158"/>
      <c r="M23" s="186"/>
      <c r="N23" s="158"/>
      <c r="O23" s="158"/>
      <c r="P23" s="158"/>
      <c r="Q23" s="186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85">
        <v>15</v>
      </c>
      <c r="K24" s="158"/>
      <c r="L24" s="158"/>
      <c r="M24" s="186"/>
      <c r="N24" s="158"/>
      <c r="O24" s="158"/>
      <c r="P24" s="158"/>
      <c r="Q24" s="186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85">
        <v>20</v>
      </c>
      <c r="K25" s="158"/>
      <c r="L25" s="158"/>
      <c r="M25" s="186"/>
      <c r="N25" s="158"/>
      <c r="O25" s="158"/>
      <c r="P25" s="158"/>
      <c r="Q25" s="186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85">
        <v>12</v>
      </c>
      <c r="K26" s="158"/>
      <c r="L26" s="158"/>
      <c r="M26" s="186"/>
      <c r="N26" s="185"/>
      <c r="O26" s="158"/>
      <c r="P26" s="158"/>
      <c r="Q26" s="186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87">
        <f>AVERAGE(J19:M26)</f>
        <v>15.25</v>
      </c>
      <c r="K27" s="188"/>
      <c r="L27" s="188"/>
      <c r="M27" s="189"/>
      <c r="N27" s="190"/>
      <c r="O27" s="190"/>
      <c r="P27" s="190"/>
      <c r="Q27" s="191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79" t="s">
        <v>29</v>
      </c>
      <c r="K29" s="180"/>
      <c r="L29" s="180"/>
      <c r="M29" s="181"/>
      <c r="N29" s="108" t="s">
        <v>20</v>
      </c>
      <c r="O29" s="108"/>
      <c r="P29" s="108"/>
      <c r="Q29" s="109"/>
      <c r="R29" s="2"/>
      <c r="S29" s="17"/>
      <c r="T29" s="28"/>
      <c r="U29" s="28"/>
      <c r="V29" s="28"/>
      <c r="W29" s="28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182">
        <v>19</v>
      </c>
      <c r="K30" s="183"/>
      <c r="L30" s="183"/>
      <c r="M30" s="184"/>
      <c r="N30" s="183"/>
      <c r="O30" s="183"/>
      <c r="P30" s="183"/>
      <c r="Q30" s="184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8">
        <v>18</v>
      </c>
      <c r="K31" s="176"/>
      <c r="L31" s="176"/>
      <c r="M31" s="177"/>
      <c r="N31" s="176"/>
      <c r="O31" s="176"/>
      <c r="P31" s="176"/>
      <c r="Q31" s="177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4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2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73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34795182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41072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29"/>
      <c r="U13" s="29"/>
      <c r="V13" s="29"/>
      <c r="W13" s="2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74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0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12</v>
      </c>
      <c r="K19" s="140"/>
      <c r="L19" s="140"/>
      <c r="M19" s="141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16</v>
      </c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12</v>
      </c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17</v>
      </c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11</v>
      </c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15</v>
      </c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11</v>
      </c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12</v>
      </c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13.25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28"/>
      <c r="U29" s="28"/>
      <c r="V29" s="28"/>
      <c r="W29" s="28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15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18</v>
      </c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topLeftCell="A13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2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75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34795491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40919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29"/>
      <c r="U13" s="29"/>
      <c r="V13" s="29"/>
      <c r="W13" s="2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76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30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202">
        <v>17</v>
      </c>
      <c r="K19" s="203"/>
      <c r="L19" s="203"/>
      <c r="M19" s="204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98">
        <v>17</v>
      </c>
      <c r="K20" s="199"/>
      <c r="L20" s="199"/>
      <c r="M20" s="200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98">
        <v>10</v>
      </c>
      <c r="K21" s="199"/>
      <c r="L21" s="199"/>
      <c r="M21" s="200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98">
        <v>20</v>
      </c>
      <c r="K22" s="199"/>
      <c r="L22" s="199"/>
      <c r="M22" s="200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98">
        <v>14</v>
      </c>
      <c r="K23" s="199"/>
      <c r="L23" s="199"/>
      <c r="M23" s="200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98">
        <v>13</v>
      </c>
      <c r="K24" s="199"/>
      <c r="L24" s="199"/>
      <c r="M24" s="200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98">
        <v>10</v>
      </c>
      <c r="K25" s="199"/>
      <c r="L25" s="199"/>
      <c r="M25" s="200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201" t="s">
        <v>104</v>
      </c>
      <c r="K26" s="199"/>
      <c r="L26" s="199"/>
      <c r="M26" s="200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14.428571428571429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28"/>
      <c r="U29" s="28"/>
      <c r="V29" s="28"/>
      <c r="W29" s="28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13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/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10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</row>
    <row r="2" spans="1:23" x14ac:dyDescent="0.25">
      <c r="A2" s="4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9"/>
    </row>
    <row r="3" spans="1:23" x14ac:dyDescent="0.25">
      <c r="A3" s="4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9"/>
    </row>
    <row r="4" spans="1:23" ht="7.5" customHeight="1" x14ac:dyDescent="0.25">
      <c r="A4" s="4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9"/>
    </row>
    <row r="5" spans="1:23" ht="20.25" customHeight="1" x14ac:dyDescent="0.25">
      <c r="A5" s="20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206"/>
    </row>
    <row r="6" spans="1:23" ht="18.75" customHeight="1" x14ac:dyDescent="0.25">
      <c r="A6" s="207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208"/>
      <c r="T6" s="2"/>
      <c r="U6" s="2"/>
      <c r="V6" s="2"/>
      <c r="W6" s="2"/>
    </row>
    <row r="7" spans="1:23" ht="15.75" customHeight="1" x14ac:dyDescent="0.25">
      <c r="A7" s="4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49"/>
      <c r="T7" s="171"/>
      <c r="U7" s="171"/>
      <c r="V7" s="171"/>
      <c r="W7" s="171"/>
    </row>
    <row r="8" spans="1:23" ht="31.5" customHeight="1" x14ac:dyDescent="0.25">
      <c r="A8" s="4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9"/>
      <c r="T8" s="172"/>
      <c r="U8" s="172"/>
      <c r="V8" s="172"/>
      <c r="W8" s="172"/>
    </row>
    <row r="9" spans="1:23" ht="18" customHeight="1" x14ac:dyDescent="0.25">
      <c r="A9" s="4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49"/>
      <c r="T9" s="159"/>
      <c r="U9" s="159"/>
      <c r="V9" s="159"/>
      <c r="W9" s="29"/>
    </row>
    <row r="10" spans="1:23" ht="3.75" customHeight="1" x14ac:dyDescent="0.25">
      <c r="A10" s="4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49"/>
      <c r="T10" s="159"/>
      <c r="U10" s="159"/>
      <c r="V10" s="159"/>
      <c r="W10" s="8"/>
    </row>
    <row r="11" spans="1:23" ht="21" customHeight="1" x14ac:dyDescent="0.25">
      <c r="A11" s="48"/>
      <c r="B11" s="3" t="s">
        <v>2</v>
      </c>
      <c r="C11" s="3"/>
      <c r="D11" s="3"/>
      <c r="E11" s="3"/>
      <c r="F11" s="3"/>
      <c r="G11" s="164" t="s">
        <v>78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34795934</v>
      </c>
      <c r="Q11" s="157"/>
      <c r="R11" s="157"/>
      <c r="S11" s="50"/>
      <c r="T11" s="132"/>
      <c r="U11" s="132"/>
      <c r="V11" s="132"/>
      <c r="W11" s="132"/>
    </row>
    <row r="12" spans="1:23" ht="21" customHeight="1" x14ac:dyDescent="0.25">
      <c r="A12" s="48"/>
      <c r="B12" s="3" t="s">
        <v>4</v>
      </c>
      <c r="C12" s="3"/>
      <c r="D12" s="3"/>
      <c r="E12" s="3"/>
      <c r="F12" s="3"/>
      <c r="G12" s="158" t="s">
        <v>80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51"/>
      <c r="T12" s="159"/>
      <c r="U12" s="159"/>
      <c r="V12" s="159"/>
      <c r="W12" s="159"/>
    </row>
    <row r="13" spans="1:23" ht="21" customHeight="1" x14ac:dyDescent="0.25">
      <c r="A13" s="48"/>
      <c r="B13" s="4" t="s">
        <v>5</v>
      </c>
      <c r="C13" s="3"/>
      <c r="D13" s="5"/>
      <c r="E13" s="5"/>
      <c r="F13" s="5"/>
      <c r="G13" s="160">
        <v>40750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50"/>
      <c r="T13" s="29"/>
      <c r="U13" s="29"/>
      <c r="V13" s="29"/>
      <c r="W13" s="29"/>
    </row>
    <row r="14" spans="1:23" ht="21" customHeight="1" x14ac:dyDescent="0.25">
      <c r="A14" s="48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79</v>
      </c>
      <c r="L14" s="157"/>
      <c r="M14" s="157"/>
      <c r="N14" s="157"/>
      <c r="O14" s="157"/>
      <c r="P14" s="157"/>
      <c r="Q14" s="157"/>
      <c r="R14" s="157"/>
      <c r="S14" s="52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53"/>
      <c r="B16" s="4"/>
      <c r="C16" s="4"/>
      <c r="D16" s="4"/>
      <c r="E16" s="4"/>
      <c r="F16" s="4"/>
      <c r="G16" s="142"/>
      <c r="H16" s="142"/>
      <c r="I16" s="44"/>
      <c r="J16" s="4"/>
      <c r="K16" s="4"/>
      <c r="L16" s="4"/>
      <c r="M16" s="5"/>
      <c r="N16" s="5"/>
      <c r="O16" s="5"/>
      <c r="P16" s="5"/>
      <c r="Q16" s="5"/>
      <c r="R16" s="5"/>
      <c r="S16" s="54"/>
      <c r="T16" s="131"/>
      <c r="U16" s="131"/>
      <c r="V16" s="132"/>
      <c r="W16" s="132"/>
    </row>
    <row r="17" spans="1:23" ht="31.5" customHeight="1" thickTop="1" thickBot="1" x14ac:dyDescent="0.3">
      <c r="A17" s="53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55"/>
      <c r="T17" s="10"/>
      <c r="U17" s="10"/>
      <c r="V17" s="132"/>
      <c r="W17" s="132"/>
    </row>
    <row r="18" spans="1:23" ht="31.5" customHeight="1" thickTop="1" thickBot="1" x14ac:dyDescent="0.3">
      <c r="A18" s="53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54"/>
      <c r="T18" s="131"/>
      <c r="U18" s="131"/>
      <c r="V18" s="132"/>
      <c r="W18" s="132"/>
    </row>
    <row r="19" spans="1:23" ht="23.25" customHeight="1" thickTop="1" x14ac:dyDescent="0.25">
      <c r="A19" s="48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16</v>
      </c>
      <c r="K19" s="140"/>
      <c r="L19" s="140"/>
      <c r="M19" s="141"/>
      <c r="N19" s="140"/>
      <c r="O19" s="140"/>
      <c r="P19" s="140"/>
      <c r="Q19" s="141"/>
      <c r="R19" s="2"/>
      <c r="S19" s="49"/>
      <c r="T19" s="131"/>
      <c r="U19" s="131"/>
      <c r="V19" s="132"/>
      <c r="W19" s="132"/>
    </row>
    <row r="20" spans="1:23" ht="23.25" customHeight="1" x14ac:dyDescent="0.25">
      <c r="A20" s="48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15</v>
      </c>
      <c r="K20" s="117"/>
      <c r="L20" s="117"/>
      <c r="M20" s="118"/>
      <c r="N20" s="117"/>
      <c r="O20" s="117"/>
      <c r="P20" s="117"/>
      <c r="Q20" s="118"/>
      <c r="R20" s="2"/>
      <c r="S20" s="49"/>
      <c r="T20" s="131"/>
      <c r="U20" s="131"/>
      <c r="V20" s="132"/>
      <c r="W20" s="132"/>
    </row>
    <row r="21" spans="1:23" ht="23.25" customHeight="1" x14ac:dyDescent="0.25">
      <c r="A21" s="48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15</v>
      </c>
      <c r="K21" s="117"/>
      <c r="L21" s="117"/>
      <c r="M21" s="118"/>
      <c r="N21" s="117"/>
      <c r="O21" s="117"/>
      <c r="P21" s="117"/>
      <c r="Q21" s="118"/>
      <c r="R21" s="2"/>
      <c r="S21" s="49"/>
      <c r="T21" s="131"/>
      <c r="U21" s="131"/>
      <c r="V21" s="132"/>
      <c r="W21" s="132"/>
    </row>
    <row r="22" spans="1:23" ht="23.25" customHeight="1" x14ac:dyDescent="0.25">
      <c r="A22" s="48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17</v>
      </c>
      <c r="K22" s="117"/>
      <c r="L22" s="117"/>
      <c r="M22" s="118"/>
      <c r="N22" s="117"/>
      <c r="O22" s="117"/>
      <c r="P22" s="117"/>
      <c r="Q22" s="118"/>
      <c r="R22" s="2"/>
      <c r="S22" s="49"/>
      <c r="T22" s="131"/>
      <c r="U22" s="131"/>
      <c r="V22" s="132"/>
      <c r="W22" s="132"/>
    </row>
    <row r="23" spans="1:23" ht="23.25" customHeight="1" x14ac:dyDescent="0.25">
      <c r="A23" s="48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14</v>
      </c>
      <c r="K23" s="117"/>
      <c r="L23" s="117"/>
      <c r="M23" s="118"/>
      <c r="N23" s="117"/>
      <c r="O23" s="117"/>
      <c r="P23" s="117"/>
      <c r="Q23" s="118"/>
      <c r="R23" s="2"/>
      <c r="S23" s="49"/>
      <c r="T23" s="131"/>
      <c r="U23" s="131"/>
      <c r="V23" s="132"/>
      <c r="W23" s="132"/>
    </row>
    <row r="24" spans="1:23" ht="23.25" customHeight="1" x14ac:dyDescent="0.25">
      <c r="A24" s="48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17</v>
      </c>
      <c r="K24" s="117"/>
      <c r="L24" s="117"/>
      <c r="M24" s="118"/>
      <c r="N24" s="117"/>
      <c r="O24" s="117"/>
      <c r="P24" s="117"/>
      <c r="Q24" s="118"/>
      <c r="R24" s="2"/>
      <c r="S24" s="49"/>
      <c r="T24" s="133"/>
      <c r="U24" s="133"/>
      <c r="V24" s="132"/>
      <c r="W24" s="132"/>
    </row>
    <row r="25" spans="1:23" ht="23.25" customHeight="1" x14ac:dyDescent="0.25">
      <c r="A25" s="48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18</v>
      </c>
      <c r="K25" s="117"/>
      <c r="L25" s="117"/>
      <c r="M25" s="118"/>
      <c r="N25" s="117"/>
      <c r="O25" s="117"/>
      <c r="P25" s="117"/>
      <c r="Q25" s="118"/>
      <c r="R25" s="2"/>
      <c r="S25" s="49"/>
      <c r="T25" s="119"/>
      <c r="U25" s="119"/>
      <c r="V25" s="119"/>
      <c r="W25" s="119"/>
    </row>
    <row r="26" spans="1:23" ht="23.25" customHeight="1" x14ac:dyDescent="0.25">
      <c r="A26" s="48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13</v>
      </c>
      <c r="K26" s="117"/>
      <c r="L26" s="117"/>
      <c r="M26" s="118"/>
      <c r="N26" s="116"/>
      <c r="O26" s="117"/>
      <c r="P26" s="117"/>
      <c r="Q26" s="118"/>
      <c r="R26" s="2"/>
      <c r="S26" s="49"/>
      <c r="T26" s="77"/>
      <c r="U26" s="77"/>
      <c r="V26" s="77"/>
      <c r="W26" s="77"/>
    </row>
    <row r="27" spans="1:23" ht="23.25" customHeight="1" thickBot="1" x14ac:dyDescent="0.3">
      <c r="A27" s="48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15.625</v>
      </c>
      <c r="K27" s="124"/>
      <c r="L27" s="124"/>
      <c r="M27" s="125"/>
      <c r="N27" s="126"/>
      <c r="O27" s="126"/>
      <c r="P27" s="126"/>
      <c r="Q27" s="127"/>
      <c r="R27" s="2"/>
      <c r="S27" s="49"/>
      <c r="T27" s="92"/>
      <c r="U27" s="92"/>
      <c r="V27" s="92"/>
      <c r="W27" s="92"/>
    </row>
    <row r="28" spans="1:23" ht="6" customHeight="1" thickTop="1" thickBot="1" x14ac:dyDescent="0.3">
      <c r="A28" s="48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49"/>
      <c r="T28" s="92"/>
      <c r="U28" s="92"/>
      <c r="V28" s="92"/>
      <c r="W28" s="92"/>
    </row>
    <row r="29" spans="1:23" ht="23.25" customHeight="1" thickTop="1" thickBot="1" x14ac:dyDescent="0.3">
      <c r="A29" s="48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49"/>
      <c r="T29" s="28"/>
      <c r="U29" s="28"/>
      <c r="V29" s="28"/>
      <c r="W29" s="28"/>
    </row>
    <row r="30" spans="1:23" ht="23.25" customHeight="1" thickTop="1" x14ac:dyDescent="0.25">
      <c r="A30" s="48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20</v>
      </c>
      <c r="K30" s="100"/>
      <c r="L30" s="100"/>
      <c r="M30" s="101"/>
      <c r="N30" s="100"/>
      <c r="O30" s="100"/>
      <c r="P30" s="100"/>
      <c r="Q30" s="101"/>
      <c r="R30" s="2"/>
      <c r="S30" s="49"/>
      <c r="T30" s="92"/>
      <c r="U30" s="92"/>
      <c r="V30" s="92"/>
      <c r="W30" s="92"/>
    </row>
    <row r="31" spans="1:23" ht="27" customHeight="1" thickBot="1" x14ac:dyDescent="0.3">
      <c r="A31" s="48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16</v>
      </c>
      <c r="K31" s="90"/>
      <c r="L31" s="90"/>
      <c r="M31" s="91"/>
      <c r="N31" s="90"/>
      <c r="O31" s="90"/>
      <c r="P31" s="90"/>
      <c r="Q31" s="91"/>
      <c r="R31" s="2"/>
      <c r="S31" s="49"/>
      <c r="T31" s="92"/>
      <c r="U31" s="92"/>
      <c r="V31" s="92"/>
      <c r="W31" s="92"/>
    </row>
    <row r="32" spans="1:23" ht="42.75" customHeight="1" thickTop="1" x14ac:dyDescent="0.25">
      <c r="A32" s="48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49"/>
      <c r="T32" s="92"/>
      <c r="U32" s="92"/>
      <c r="V32" s="92"/>
      <c r="W32" s="92"/>
    </row>
    <row r="33" spans="1:19" ht="30" customHeight="1" x14ac:dyDescent="0.25">
      <c r="A33" s="48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49"/>
    </row>
    <row r="34" spans="1:19" ht="30" customHeight="1" x14ac:dyDescent="0.25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8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M15:O15"/>
    <mergeCell ref="G15:L15"/>
    <mergeCell ref="N11:O11"/>
    <mergeCell ref="N12:O12"/>
    <mergeCell ref="G11:M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30:I30"/>
    <mergeCell ref="J30:M30"/>
    <mergeCell ref="N30:Q30"/>
    <mergeCell ref="T30:U30"/>
    <mergeCell ref="V30:W30"/>
    <mergeCell ref="T28:U28"/>
    <mergeCell ref="V28:W28"/>
    <mergeCell ref="C29:I29"/>
    <mergeCell ref="J29:M29"/>
    <mergeCell ref="N29:Q29"/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10" zoomScaleNormal="100" workbookViewId="0">
      <selection activeCell="T18" sqref="T18:U18"/>
    </sheetView>
  </sheetViews>
  <sheetFormatPr baseColWidth="10" defaultRowHeight="15" x14ac:dyDescent="0.25"/>
  <cols>
    <col min="1" max="1" width="4.85546875" customWidth="1"/>
    <col min="2" max="2" width="4" customWidth="1"/>
    <col min="3" max="5" width="4.85546875" customWidth="1"/>
    <col min="6" max="6" width="6.7109375" customWidth="1"/>
    <col min="7" max="8" width="4.85546875" customWidth="1"/>
    <col min="9" max="9" width="4.85546875" style="1" customWidth="1"/>
    <col min="10" max="13" width="4.85546875" customWidth="1"/>
    <col min="14" max="14" width="6.140625" customWidth="1"/>
    <col min="15" max="16" width="4.85546875" customWidth="1"/>
    <col min="17" max="17" width="4.85546875" style="1" customWidth="1"/>
    <col min="18" max="19" width="4.85546875" customWidth="1"/>
  </cols>
  <sheetData>
    <row r="1" spans="1:23" x14ac:dyDescent="0.2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</row>
    <row r="2" spans="1:23" x14ac:dyDescent="0.25">
      <c r="A2" s="6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63"/>
    </row>
    <row r="3" spans="1:23" x14ac:dyDescent="0.25">
      <c r="A3" s="6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3"/>
    </row>
    <row r="4" spans="1:23" ht="7.5" customHeight="1" x14ac:dyDescent="0.25">
      <c r="A4" s="6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63"/>
    </row>
    <row r="5" spans="1:23" ht="20.25" customHeight="1" x14ac:dyDescent="0.25">
      <c r="A5" s="194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95"/>
    </row>
    <row r="6" spans="1:23" ht="18.75" customHeight="1" x14ac:dyDescent="0.25">
      <c r="A6" s="196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97"/>
      <c r="T6" s="2"/>
      <c r="U6" s="2"/>
      <c r="V6" s="2"/>
      <c r="W6" s="2"/>
    </row>
    <row r="7" spans="1:23" ht="15.75" customHeight="1" x14ac:dyDescent="0.25">
      <c r="A7" s="6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3"/>
      <c r="T7" s="171"/>
      <c r="U7" s="171"/>
      <c r="V7" s="171"/>
      <c r="W7" s="171"/>
    </row>
    <row r="8" spans="1:23" ht="31.5" customHeight="1" x14ac:dyDescent="0.25">
      <c r="A8" s="6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63"/>
      <c r="T8" s="172"/>
      <c r="U8" s="172"/>
      <c r="V8" s="172"/>
      <c r="W8" s="172"/>
    </row>
    <row r="9" spans="1:23" ht="18" customHeight="1" x14ac:dyDescent="0.25">
      <c r="A9" s="6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3"/>
      <c r="T9" s="159"/>
      <c r="U9" s="159"/>
      <c r="V9" s="159"/>
      <c r="W9" s="7"/>
    </row>
    <row r="10" spans="1:23" ht="3.75" customHeight="1" x14ac:dyDescent="0.25">
      <c r="A10" s="6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63"/>
      <c r="T10" s="159"/>
      <c r="U10" s="159"/>
      <c r="V10" s="159"/>
      <c r="W10" s="8"/>
    </row>
    <row r="11" spans="1:23" ht="21" customHeight="1" x14ac:dyDescent="0.25">
      <c r="A11" s="62"/>
      <c r="B11" s="3" t="s">
        <v>2</v>
      </c>
      <c r="C11" s="3"/>
      <c r="D11" s="3"/>
      <c r="E11" s="3"/>
      <c r="F11" s="3"/>
      <c r="G11" s="164" t="s">
        <v>97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34798731</v>
      </c>
      <c r="Q11" s="157"/>
      <c r="R11" s="157"/>
      <c r="S11" s="64"/>
      <c r="T11" s="132"/>
      <c r="U11" s="132"/>
      <c r="V11" s="132"/>
      <c r="W11" s="132"/>
    </row>
    <row r="12" spans="1:23" ht="21" customHeight="1" x14ac:dyDescent="0.25">
      <c r="A12" s="62"/>
      <c r="B12" s="3" t="s">
        <v>4</v>
      </c>
      <c r="C12" s="3"/>
      <c r="D12" s="3"/>
      <c r="E12" s="3"/>
      <c r="F12" s="3"/>
      <c r="G12" s="158" t="s">
        <v>77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65"/>
      <c r="T12" s="159"/>
      <c r="U12" s="159"/>
      <c r="V12" s="159"/>
      <c r="W12" s="159"/>
    </row>
    <row r="13" spans="1:23" s="1" customFormat="1" ht="21" customHeight="1" x14ac:dyDescent="0.25">
      <c r="A13" s="62"/>
      <c r="B13" s="4" t="s">
        <v>5</v>
      </c>
      <c r="C13" s="3"/>
      <c r="D13" s="5"/>
      <c r="E13" s="5"/>
      <c r="F13" s="5"/>
      <c r="G13" s="160">
        <v>40996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64"/>
      <c r="T13" s="7"/>
      <c r="U13" s="7"/>
      <c r="V13" s="7"/>
      <c r="W13" s="7"/>
    </row>
    <row r="14" spans="1:23" s="1" customFormat="1" ht="21" customHeight="1" x14ac:dyDescent="0.25">
      <c r="A14" s="6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81</v>
      </c>
      <c r="L14" s="157"/>
      <c r="M14" s="157"/>
      <c r="N14" s="157"/>
      <c r="O14" s="157"/>
      <c r="P14" s="157"/>
      <c r="Q14" s="157"/>
      <c r="R14" s="157"/>
      <c r="S14" s="66"/>
    </row>
    <row r="15" spans="1:23" s="1" customFormat="1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67"/>
      <c r="B16" s="4"/>
      <c r="C16" s="4"/>
      <c r="D16" s="4"/>
      <c r="E16" s="4"/>
      <c r="F16" s="4"/>
      <c r="G16" s="142"/>
      <c r="H16" s="142"/>
      <c r="I16" s="82"/>
      <c r="J16" s="5"/>
      <c r="K16" s="4"/>
      <c r="L16" s="4"/>
      <c r="M16" s="5"/>
      <c r="N16" s="5"/>
      <c r="O16" s="5"/>
      <c r="P16" s="5"/>
      <c r="Q16" s="5"/>
      <c r="R16" s="5"/>
      <c r="S16" s="68"/>
      <c r="T16" s="131"/>
      <c r="U16" s="131"/>
      <c r="V16" s="132"/>
      <c r="W16" s="132"/>
    </row>
    <row r="17" spans="1:23" ht="31.5" customHeight="1" thickTop="1" thickBot="1" x14ac:dyDescent="0.3">
      <c r="A17" s="67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69"/>
      <c r="T17" s="10"/>
      <c r="U17" s="10"/>
      <c r="V17" s="132"/>
      <c r="W17" s="132"/>
    </row>
    <row r="18" spans="1:23" ht="31.5" customHeight="1" thickTop="1" thickBot="1" x14ac:dyDescent="0.3">
      <c r="A18" s="67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68"/>
      <c r="T18" s="131"/>
      <c r="U18" s="131"/>
      <c r="V18" s="132"/>
      <c r="W18" s="132"/>
    </row>
    <row r="19" spans="1:23" ht="23.25" customHeight="1" thickTop="1" x14ac:dyDescent="0.25">
      <c r="A19" s="62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19</v>
      </c>
      <c r="K19" s="140"/>
      <c r="L19" s="140"/>
      <c r="M19" s="141"/>
      <c r="N19" s="140"/>
      <c r="O19" s="140"/>
      <c r="P19" s="140"/>
      <c r="Q19" s="141"/>
      <c r="R19" s="2"/>
      <c r="S19" s="63"/>
      <c r="T19" s="131"/>
      <c r="U19" s="131"/>
      <c r="V19" s="132"/>
      <c r="W19" s="132"/>
    </row>
    <row r="20" spans="1:23" ht="23.25" customHeight="1" x14ac:dyDescent="0.25">
      <c r="A20" s="62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16</v>
      </c>
      <c r="K20" s="117"/>
      <c r="L20" s="117"/>
      <c r="M20" s="118"/>
      <c r="N20" s="117"/>
      <c r="O20" s="117"/>
      <c r="P20" s="117"/>
      <c r="Q20" s="118"/>
      <c r="R20" s="2"/>
      <c r="S20" s="63"/>
      <c r="T20" s="131"/>
      <c r="U20" s="131"/>
      <c r="V20" s="132"/>
      <c r="W20" s="132"/>
    </row>
    <row r="21" spans="1:23" ht="23.25" customHeight="1" x14ac:dyDescent="0.25">
      <c r="A21" s="62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15</v>
      </c>
      <c r="K21" s="117"/>
      <c r="L21" s="117"/>
      <c r="M21" s="118"/>
      <c r="N21" s="117"/>
      <c r="O21" s="117"/>
      <c r="P21" s="117"/>
      <c r="Q21" s="118"/>
      <c r="R21" s="2"/>
      <c r="S21" s="63"/>
      <c r="T21" s="131"/>
      <c r="U21" s="131"/>
      <c r="V21" s="132"/>
      <c r="W21" s="132"/>
    </row>
    <row r="22" spans="1:23" ht="23.25" customHeight="1" x14ac:dyDescent="0.25">
      <c r="A22" s="62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20</v>
      </c>
      <c r="K22" s="117"/>
      <c r="L22" s="117"/>
      <c r="M22" s="118"/>
      <c r="N22" s="117"/>
      <c r="O22" s="117"/>
      <c r="P22" s="117"/>
      <c r="Q22" s="118"/>
      <c r="R22" s="2"/>
      <c r="S22" s="63"/>
      <c r="T22" s="131"/>
      <c r="U22" s="131"/>
      <c r="V22" s="132"/>
      <c r="W22" s="132"/>
    </row>
    <row r="23" spans="1:23" ht="23.25" customHeight="1" x14ac:dyDescent="0.25">
      <c r="A23" s="62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15</v>
      </c>
      <c r="K23" s="117"/>
      <c r="L23" s="117"/>
      <c r="M23" s="118"/>
      <c r="N23" s="117"/>
      <c r="O23" s="117"/>
      <c r="P23" s="117"/>
      <c r="Q23" s="118"/>
      <c r="R23" s="2"/>
      <c r="S23" s="63"/>
      <c r="T23" s="131"/>
      <c r="U23" s="131"/>
      <c r="V23" s="132"/>
      <c r="W23" s="132"/>
    </row>
    <row r="24" spans="1:23" ht="23.25" customHeight="1" x14ac:dyDescent="0.25">
      <c r="A24" s="62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18</v>
      </c>
      <c r="K24" s="117"/>
      <c r="L24" s="117"/>
      <c r="M24" s="118"/>
      <c r="N24" s="117"/>
      <c r="O24" s="117"/>
      <c r="P24" s="117"/>
      <c r="Q24" s="118"/>
      <c r="R24" s="2"/>
      <c r="S24" s="63"/>
      <c r="T24" s="133"/>
      <c r="U24" s="133"/>
      <c r="V24" s="132"/>
      <c r="W24" s="132"/>
    </row>
    <row r="25" spans="1:23" ht="23.25" customHeight="1" x14ac:dyDescent="0.25">
      <c r="A25" s="62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15</v>
      </c>
      <c r="K25" s="117"/>
      <c r="L25" s="117"/>
      <c r="M25" s="118"/>
      <c r="N25" s="117"/>
      <c r="O25" s="117"/>
      <c r="P25" s="117"/>
      <c r="Q25" s="118"/>
      <c r="R25" s="2"/>
      <c r="S25" s="63"/>
      <c r="T25" s="119"/>
      <c r="U25" s="119"/>
      <c r="V25" s="119"/>
      <c r="W25" s="119"/>
    </row>
    <row r="26" spans="1:23" s="1" customFormat="1" ht="23.25" customHeight="1" x14ac:dyDescent="0.25">
      <c r="A26" s="62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13</v>
      </c>
      <c r="K26" s="117"/>
      <c r="L26" s="117"/>
      <c r="M26" s="118"/>
      <c r="N26" s="116"/>
      <c r="O26" s="117"/>
      <c r="P26" s="117"/>
      <c r="Q26" s="118"/>
      <c r="R26" s="2"/>
      <c r="S26" s="63"/>
      <c r="T26" s="77"/>
      <c r="U26" s="77"/>
      <c r="V26" s="77"/>
      <c r="W26" s="77"/>
    </row>
    <row r="27" spans="1:23" ht="23.25" customHeight="1" thickBot="1" x14ac:dyDescent="0.3">
      <c r="A27" s="62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16.375</v>
      </c>
      <c r="K27" s="124"/>
      <c r="L27" s="124"/>
      <c r="M27" s="125"/>
      <c r="N27" s="126"/>
      <c r="O27" s="126"/>
      <c r="P27" s="126"/>
      <c r="Q27" s="127"/>
      <c r="R27" s="2"/>
      <c r="S27" s="63"/>
      <c r="T27" s="92"/>
      <c r="U27" s="92"/>
      <c r="V27" s="92"/>
      <c r="W27" s="92"/>
    </row>
    <row r="28" spans="1:23" ht="6" customHeight="1" thickTop="1" thickBot="1" x14ac:dyDescent="0.3">
      <c r="A28" s="62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63"/>
      <c r="T28" s="92"/>
      <c r="U28" s="92"/>
      <c r="V28" s="92"/>
      <c r="W28" s="92"/>
    </row>
    <row r="29" spans="1:23" s="1" customFormat="1" ht="23.25" customHeight="1" thickTop="1" thickBot="1" x14ac:dyDescent="0.3">
      <c r="A29" s="62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63"/>
      <c r="T29" s="12"/>
      <c r="U29" s="12"/>
      <c r="V29" s="12"/>
      <c r="W29" s="12"/>
    </row>
    <row r="30" spans="1:23" ht="23.25" customHeight="1" thickTop="1" x14ac:dyDescent="0.25">
      <c r="A30" s="62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20</v>
      </c>
      <c r="K30" s="100"/>
      <c r="L30" s="100"/>
      <c r="M30" s="101"/>
      <c r="N30" s="100"/>
      <c r="O30" s="100"/>
      <c r="P30" s="100"/>
      <c r="Q30" s="101"/>
      <c r="R30" s="2"/>
      <c r="S30" s="63"/>
      <c r="T30" s="92"/>
      <c r="U30" s="92"/>
      <c r="V30" s="92"/>
      <c r="W30" s="92"/>
    </row>
    <row r="31" spans="1:23" s="1" customFormat="1" ht="27" customHeight="1" thickBot="1" x14ac:dyDescent="0.3">
      <c r="A31" s="62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18</v>
      </c>
      <c r="K31" s="90"/>
      <c r="L31" s="90"/>
      <c r="M31" s="91"/>
      <c r="N31" s="90"/>
      <c r="O31" s="90"/>
      <c r="P31" s="90"/>
      <c r="Q31" s="91"/>
      <c r="R31" s="2"/>
      <c r="S31" s="63"/>
      <c r="T31" s="92"/>
      <c r="U31" s="92"/>
      <c r="V31" s="92"/>
      <c r="W31" s="92"/>
    </row>
    <row r="32" spans="1:23" s="1" customFormat="1" ht="42.75" customHeight="1" thickTop="1" x14ac:dyDescent="0.25">
      <c r="A32" s="62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63"/>
      <c r="T32" s="92"/>
      <c r="U32" s="92"/>
      <c r="V32" s="92"/>
      <c r="W32" s="92"/>
    </row>
    <row r="33" spans="1:19" ht="30" customHeight="1" thickBot="1" x14ac:dyDescent="0.3">
      <c r="A33" s="70"/>
      <c r="B33" s="71"/>
      <c r="C33" s="71"/>
      <c r="D33" s="71"/>
      <c r="E33" s="71"/>
      <c r="F33" s="71"/>
      <c r="G33" s="83"/>
      <c r="H33" s="83"/>
      <c r="I33" s="83"/>
      <c r="J33" s="84" t="s">
        <v>23</v>
      </c>
      <c r="K33" s="71"/>
      <c r="L33" s="71"/>
      <c r="M33" s="71"/>
      <c r="N33" s="71"/>
      <c r="O33" s="71"/>
      <c r="P33" s="71"/>
      <c r="Q33" s="71"/>
      <c r="R33" s="71"/>
      <c r="S33" s="72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20:Q20"/>
    <mergeCell ref="C17:I18"/>
    <mergeCell ref="C19:I19"/>
    <mergeCell ref="C20:I20"/>
    <mergeCell ref="C27:I27"/>
    <mergeCell ref="C24:I24"/>
    <mergeCell ref="C25:I25"/>
    <mergeCell ref="N25:Q25"/>
    <mergeCell ref="N19:Q19"/>
    <mergeCell ref="C21:I21"/>
    <mergeCell ref="C23:I23"/>
    <mergeCell ref="C22:I22"/>
    <mergeCell ref="J26:M26"/>
    <mergeCell ref="N26:Q26"/>
    <mergeCell ref="N23:Q23"/>
    <mergeCell ref="J22:M22"/>
    <mergeCell ref="A5:S5"/>
    <mergeCell ref="A6:S6"/>
    <mergeCell ref="P11:R11"/>
    <mergeCell ref="G15:L15"/>
    <mergeCell ref="N11:O11"/>
    <mergeCell ref="N12:O12"/>
    <mergeCell ref="G11:M11"/>
    <mergeCell ref="K14:R14"/>
    <mergeCell ref="N13:O13"/>
    <mergeCell ref="P15:R15"/>
    <mergeCell ref="G13:L13"/>
    <mergeCell ref="M15:O15"/>
    <mergeCell ref="T16:U16"/>
    <mergeCell ref="G16:H16"/>
    <mergeCell ref="T25:W25"/>
    <mergeCell ref="T20:U20"/>
    <mergeCell ref="V20:W20"/>
    <mergeCell ref="T21:U21"/>
    <mergeCell ref="J20:M20"/>
    <mergeCell ref="J21:M21"/>
    <mergeCell ref="V21:W21"/>
    <mergeCell ref="T19:U19"/>
    <mergeCell ref="V19:W19"/>
    <mergeCell ref="J19:M19"/>
    <mergeCell ref="V16:W16"/>
    <mergeCell ref="J24:M24"/>
    <mergeCell ref="N21:Q21"/>
    <mergeCell ref="N22:Q22"/>
    <mergeCell ref="T30:U30"/>
    <mergeCell ref="V30:W30"/>
    <mergeCell ref="V22:W22"/>
    <mergeCell ref="T23:U23"/>
    <mergeCell ref="V23:W23"/>
    <mergeCell ref="T24:U24"/>
    <mergeCell ref="V24:W24"/>
    <mergeCell ref="T27:U27"/>
    <mergeCell ref="T22:U22"/>
    <mergeCell ref="V27:W27"/>
    <mergeCell ref="T28:U28"/>
    <mergeCell ref="V28:W28"/>
    <mergeCell ref="V12:W12"/>
    <mergeCell ref="G12:L12"/>
    <mergeCell ref="P12:R12"/>
    <mergeCell ref="T7:W7"/>
    <mergeCell ref="T8:W8"/>
    <mergeCell ref="T9:T10"/>
    <mergeCell ref="U9:V10"/>
    <mergeCell ref="T11:W11"/>
    <mergeCell ref="T12:U12"/>
    <mergeCell ref="J23:M23"/>
    <mergeCell ref="N27:Q27"/>
    <mergeCell ref="N24:Q24"/>
    <mergeCell ref="J25:M25"/>
    <mergeCell ref="J27:M27"/>
    <mergeCell ref="V17:W17"/>
    <mergeCell ref="T18:U18"/>
    <mergeCell ref="V18:W18"/>
    <mergeCell ref="J17:Q17"/>
    <mergeCell ref="J18:M18"/>
    <mergeCell ref="N18:Q18"/>
    <mergeCell ref="T32:U32"/>
    <mergeCell ref="V32:W32"/>
    <mergeCell ref="C31:I31"/>
    <mergeCell ref="J31:M31"/>
    <mergeCell ref="N31:Q31"/>
    <mergeCell ref="G32:I32"/>
    <mergeCell ref="O32:Q32"/>
    <mergeCell ref="T31:U31"/>
    <mergeCell ref="V31:W31"/>
    <mergeCell ref="C30:I30"/>
    <mergeCell ref="J30:M30"/>
    <mergeCell ref="N30:Q30"/>
    <mergeCell ref="C29:I29"/>
    <mergeCell ref="J29:M29"/>
    <mergeCell ref="N29:Q29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8"/>
  <sheetViews>
    <sheetView view="pageLayout" topLeftCell="A10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</row>
    <row r="2" spans="1:23" x14ac:dyDescent="0.25">
      <c r="A2" s="6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63"/>
    </row>
    <row r="3" spans="1:23" ht="18.75" customHeight="1" x14ac:dyDescent="0.25">
      <c r="A3" s="6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3"/>
    </row>
    <row r="4" spans="1:23" ht="27.75" customHeight="1" x14ac:dyDescent="0.25">
      <c r="A4" s="194" t="s">
        <v>0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95"/>
    </row>
    <row r="5" spans="1:23" ht="18.75" customHeight="1" x14ac:dyDescent="0.25">
      <c r="A5" s="196" t="s">
        <v>1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97"/>
      <c r="T5" s="2"/>
      <c r="U5" s="2"/>
      <c r="V5" s="2"/>
      <c r="W5" s="2"/>
    </row>
    <row r="6" spans="1:23" ht="15.75" customHeight="1" x14ac:dyDescent="0.25">
      <c r="A6" s="62" t="s">
        <v>105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63"/>
      <c r="T6" s="171"/>
      <c r="U6" s="171"/>
      <c r="V6" s="171"/>
      <c r="W6" s="171"/>
    </row>
    <row r="7" spans="1:23" ht="31.5" customHeight="1" x14ac:dyDescent="0.25">
      <c r="A7" s="6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3"/>
      <c r="T7" s="172"/>
      <c r="U7" s="172"/>
      <c r="V7" s="172"/>
      <c r="W7" s="172"/>
    </row>
    <row r="8" spans="1:23" ht="18" customHeight="1" x14ac:dyDescent="0.25">
      <c r="A8" s="6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63"/>
      <c r="T8" s="159"/>
      <c r="U8" s="159"/>
      <c r="V8" s="159"/>
      <c r="W8" s="29"/>
    </row>
    <row r="9" spans="1:23" ht="3.75" customHeight="1" x14ac:dyDescent="0.25">
      <c r="A9" s="6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3"/>
      <c r="T9" s="159"/>
      <c r="U9" s="159"/>
      <c r="V9" s="159"/>
      <c r="W9" s="8"/>
    </row>
    <row r="10" spans="1:23" ht="21" customHeight="1" x14ac:dyDescent="0.25">
      <c r="A10" s="62"/>
      <c r="B10" s="3" t="s">
        <v>2</v>
      </c>
      <c r="C10" s="3"/>
      <c r="D10" s="3"/>
      <c r="E10" s="3"/>
      <c r="F10" s="3"/>
      <c r="G10" s="164" t="s">
        <v>82</v>
      </c>
      <c r="H10" s="164"/>
      <c r="I10" s="164"/>
      <c r="J10" s="164"/>
      <c r="K10" s="164"/>
      <c r="L10" s="164"/>
      <c r="M10" s="164"/>
      <c r="N10" s="163" t="s">
        <v>3</v>
      </c>
      <c r="O10" s="163"/>
      <c r="P10" s="157">
        <v>35004487</v>
      </c>
      <c r="Q10" s="157"/>
      <c r="R10" s="157"/>
      <c r="S10" s="64"/>
      <c r="T10" s="132"/>
      <c r="U10" s="132"/>
      <c r="V10" s="132"/>
      <c r="W10" s="132"/>
    </row>
    <row r="11" spans="1:23" ht="21" customHeight="1" x14ac:dyDescent="0.25">
      <c r="A11" s="62"/>
      <c r="B11" s="3" t="s">
        <v>4</v>
      </c>
      <c r="C11" s="3"/>
      <c r="D11" s="3"/>
      <c r="E11" s="3"/>
      <c r="F11" s="3"/>
      <c r="G11" s="158" t="s">
        <v>54</v>
      </c>
      <c r="H11" s="158"/>
      <c r="I11" s="158"/>
      <c r="J11" s="158"/>
      <c r="K11" s="158"/>
      <c r="L11" s="158"/>
      <c r="M11" s="3"/>
      <c r="N11" s="163" t="s">
        <v>11</v>
      </c>
      <c r="O11" s="163"/>
      <c r="P11" s="158">
        <v>13</v>
      </c>
      <c r="Q11" s="158"/>
      <c r="R11" s="158"/>
      <c r="S11" s="65"/>
      <c r="T11" s="159"/>
      <c r="U11" s="159"/>
      <c r="V11" s="159"/>
      <c r="W11" s="159"/>
    </row>
    <row r="12" spans="1:23" ht="21" customHeight="1" x14ac:dyDescent="0.25">
      <c r="A12" s="62"/>
      <c r="B12" s="4" t="s">
        <v>5</v>
      </c>
      <c r="C12" s="3"/>
      <c r="D12" s="5"/>
      <c r="E12" s="5"/>
      <c r="F12" s="5"/>
      <c r="G12" s="160">
        <v>41019</v>
      </c>
      <c r="H12" s="158"/>
      <c r="I12" s="158"/>
      <c r="J12" s="158"/>
      <c r="K12" s="158"/>
      <c r="L12" s="158"/>
      <c r="M12" s="3" t="s">
        <v>6</v>
      </c>
      <c r="N12" s="175" t="s">
        <v>98</v>
      </c>
      <c r="O12" s="175"/>
      <c r="P12" s="6" t="s">
        <v>7</v>
      </c>
      <c r="Q12" s="6"/>
      <c r="R12" s="78" t="s">
        <v>25</v>
      </c>
      <c r="S12" s="64"/>
      <c r="T12" s="29"/>
      <c r="U12" s="29"/>
      <c r="V12" s="29"/>
      <c r="W12" s="29"/>
    </row>
    <row r="13" spans="1:23" ht="21" customHeight="1" x14ac:dyDescent="0.25">
      <c r="A13" s="62"/>
      <c r="B13" s="4" t="s">
        <v>9</v>
      </c>
      <c r="C13" s="4"/>
      <c r="D13" s="4"/>
      <c r="E13" s="4"/>
      <c r="F13" s="4"/>
      <c r="G13" s="4"/>
      <c r="H13" s="4"/>
      <c r="I13" s="4"/>
      <c r="J13" s="2"/>
      <c r="K13" s="157" t="s">
        <v>83</v>
      </c>
      <c r="L13" s="157"/>
      <c r="M13" s="157"/>
      <c r="N13" s="157"/>
      <c r="O13" s="157"/>
      <c r="P13" s="157"/>
      <c r="Q13" s="157"/>
      <c r="R13" s="157"/>
      <c r="S13" s="66"/>
    </row>
    <row r="14" spans="1:23" ht="21" customHeight="1" x14ac:dyDescent="0.25">
      <c r="A14" s="16"/>
      <c r="B14" s="4" t="s">
        <v>10</v>
      </c>
      <c r="C14" s="4"/>
      <c r="D14" s="4"/>
      <c r="E14" s="4"/>
      <c r="F14" s="4"/>
      <c r="G14" s="157" t="s">
        <v>101</v>
      </c>
      <c r="H14" s="157"/>
      <c r="I14" s="157"/>
      <c r="J14" s="157"/>
      <c r="K14" s="157"/>
      <c r="L14" s="157"/>
      <c r="M14" s="162" t="s">
        <v>8</v>
      </c>
      <c r="N14" s="162"/>
      <c r="O14" s="162"/>
      <c r="P14" s="157" t="s">
        <v>102</v>
      </c>
      <c r="Q14" s="157"/>
      <c r="R14" s="157"/>
      <c r="S14" s="20"/>
    </row>
    <row r="15" spans="1:23" ht="32.25" customHeight="1" thickBot="1" x14ac:dyDescent="0.3"/>
    <row r="16" spans="1:23" ht="31.5" customHeight="1" thickTop="1" thickBot="1" x14ac:dyDescent="0.3">
      <c r="A16" s="67"/>
      <c r="B16" s="3"/>
      <c r="C16" s="143" t="s">
        <v>12</v>
      </c>
      <c r="D16" s="144"/>
      <c r="E16" s="144"/>
      <c r="F16" s="144"/>
      <c r="G16" s="144"/>
      <c r="H16" s="144"/>
      <c r="I16" s="145"/>
      <c r="J16" s="149" t="s">
        <v>19</v>
      </c>
      <c r="K16" s="150"/>
      <c r="L16" s="150"/>
      <c r="M16" s="150"/>
      <c r="N16" s="150"/>
      <c r="O16" s="150"/>
      <c r="P16" s="150"/>
      <c r="Q16" s="151"/>
      <c r="R16" s="9"/>
      <c r="S16" s="69"/>
      <c r="T16" s="10"/>
      <c r="U16" s="10"/>
      <c r="V16" s="132"/>
      <c r="W16" s="132"/>
    </row>
    <row r="17" spans="1:23" ht="31.5" customHeight="1" thickTop="1" thickBot="1" x14ac:dyDescent="0.3">
      <c r="A17" s="67"/>
      <c r="B17" s="3"/>
      <c r="C17" s="146"/>
      <c r="D17" s="147"/>
      <c r="E17" s="147"/>
      <c r="F17" s="147"/>
      <c r="G17" s="147"/>
      <c r="H17" s="147"/>
      <c r="I17" s="148"/>
      <c r="J17" s="152" t="s">
        <v>30</v>
      </c>
      <c r="K17" s="153"/>
      <c r="L17" s="153"/>
      <c r="M17" s="154"/>
      <c r="N17" s="155" t="s">
        <v>20</v>
      </c>
      <c r="O17" s="155"/>
      <c r="P17" s="155"/>
      <c r="Q17" s="156"/>
      <c r="R17" s="5"/>
      <c r="S17" s="68"/>
      <c r="T17" s="131"/>
      <c r="U17" s="131"/>
      <c r="V17" s="132"/>
      <c r="W17" s="132"/>
    </row>
    <row r="18" spans="1:23" ht="23.25" customHeight="1" thickTop="1" x14ac:dyDescent="0.25">
      <c r="A18" s="62"/>
      <c r="B18" s="2"/>
      <c r="C18" s="215" t="s">
        <v>13</v>
      </c>
      <c r="D18" s="216"/>
      <c r="E18" s="216"/>
      <c r="F18" s="216"/>
      <c r="G18" s="216"/>
      <c r="H18" s="216"/>
      <c r="I18" s="217"/>
      <c r="J18" s="218">
        <v>16</v>
      </c>
      <c r="K18" s="219"/>
      <c r="L18" s="219"/>
      <c r="M18" s="220"/>
      <c r="N18" s="219"/>
      <c r="O18" s="219"/>
      <c r="P18" s="219"/>
      <c r="Q18" s="220"/>
      <c r="R18" s="2"/>
      <c r="S18" s="63"/>
      <c r="T18" s="131"/>
      <c r="U18" s="131"/>
      <c r="V18" s="132"/>
      <c r="W18" s="132"/>
    </row>
    <row r="19" spans="1:23" ht="23.25" customHeight="1" x14ac:dyDescent="0.25">
      <c r="A19" s="62"/>
      <c r="B19" s="2"/>
      <c r="C19" s="128" t="s">
        <v>14</v>
      </c>
      <c r="D19" s="129"/>
      <c r="E19" s="129"/>
      <c r="F19" s="129"/>
      <c r="G19" s="129"/>
      <c r="H19" s="129"/>
      <c r="I19" s="130"/>
      <c r="J19" s="116">
        <v>16</v>
      </c>
      <c r="K19" s="117"/>
      <c r="L19" s="117"/>
      <c r="M19" s="118"/>
      <c r="N19" s="117"/>
      <c r="O19" s="117"/>
      <c r="P19" s="117"/>
      <c r="Q19" s="118"/>
      <c r="R19" s="2"/>
      <c r="S19" s="63"/>
      <c r="T19" s="131"/>
      <c r="U19" s="131"/>
      <c r="V19" s="132"/>
      <c r="W19" s="132"/>
    </row>
    <row r="20" spans="1:23" ht="23.25" customHeight="1" x14ac:dyDescent="0.25">
      <c r="A20" s="62"/>
      <c r="B20" s="2"/>
      <c r="C20" s="128" t="s">
        <v>15</v>
      </c>
      <c r="D20" s="129"/>
      <c r="E20" s="129"/>
      <c r="F20" s="129"/>
      <c r="G20" s="129"/>
      <c r="H20" s="129"/>
      <c r="I20" s="130"/>
      <c r="J20" s="116">
        <v>13</v>
      </c>
      <c r="K20" s="117"/>
      <c r="L20" s="117"/>
      <c r="M20" s="118"/>
      <c r="N20" s="117"/>
      <c r="O20" s="117"/>
      <c r="P20" s="117"/>
      <c r="Q20" s="118"/>
      <c r="R20" s="2"/>
      <c r="S20" s="63"/>
      <c r="T20" s="131"/>
      <c r="U20" s="131"/>
      <c r="V20" s="132"/>
      <c r="W20" s="132"/>
    </row>
    <row r="21" spans="1:23" ht="23.25" customHeight="1" x14ac:dyDescent="0.25">
      <c r="A21" s="62"/>
      <c r="B21" s="2"/>
      <c r="C21" s="128" t="s">
        <v>16</v>
      </c>
      <c r="D21" s="129"/>
      <c r="E21" s="129"/>
      <c r="F21" s="129"/>
      <c r="G21" s="129"/>
      <c r="H21" s="129"/>
      <c r="I21" s="130"/>
      <c r="J21" s="116">
        <v>18</v>
      </c>
      <c r="K21" s="117"/>
      <c r="L21" s="117"/>
      <c r="M21" s="118"/>
      <c r="N21" s="117"/>
      <c r="O21" s="117"/>
      <c r="P21" s="117"/>
      <c r="Q21" s="118"/>
      <c r="R21" s="2"/>
      <c r="S21" s="63"/>
      <c r="T21" s="131"/>
      <c r="U21" s="131"/>
      <c r="V21" s="132"/>
      <c r="W21" s="132"/>
    </row>
    <row r="22" spans="1:23" ht="23.25" customHeight="1" x14ac:dyDescent="0.25">
      <c r="A22" s="62"/>
      <c r="B22" s="2"/>
      <c r="C22" s="128" t="s">
        <v>26</v>
      </c>
      <c r="D22" s="129"/>
      <c r="E22" s="129"/>
      <c r="F22" s="129"/>
      <c r="G22" s="129"/>
      <c r="H22" s="129"/>
      <c r="I22" s="130"/>
      <c r="J22" s="116">
        <v>14</v>
      </c>
      <c r="K22" s="117"/>
      <c r="L22" s="117"/>
      <c r="M22" s="118"/>
      <c r="N22" s="117"/>
      <c r="O22" s="117"/>
      <c r="P22" s="117"/>
      <c r="Q22" s="118"/>
      <c r="R22" s="2"/>
      <c r="S22" s="63"/>
      <c r="T22" s="131"/>
      <c r="U22" s="131"/>
      <c r="V22" s="132"/>
      <c r="W22" s="132"/>
    </row>
    <row r="23" spans="1:23" ht="23.25" customHeight="1" x14ac:dyDescent="0.25">
      <c r="A23" s="62"/>
      <c r="B23" s="2"/>
      <c r="C23" s="128" t="s">
        <v>27</v>
      </c>
      <c r="D23" s="129"/>
      <c r="E23" s="129"/>
      <c r="F23" s="129"/>
      <c r="G23" s="129"/>
      <c r="H23" s="129"/>
      <c r="I23" s="130"/>
      <c r="J23" s="116">
        <v>18</v>
      </c>
      <c r="K23" s="117"/>
      <c r="L23" s="117"/>
      <c r="M23" s="118"/>
      <c r="N23" s="117"/>
      <c r="O23" s="117"/>
      <c r="P23" s="117"/>
      <c r="Q23" s="118"/>
      <c r="R23" s="2"/>
      <c r="S23" s="63"/>
      <c r="T23" s="133"/>
      <c r="U23" s="133"/>
      <c r="V23" s="132"/>
      <c r="W23" s="132"/>
    </row>
    <row r="24" spans="1:23" ht="23.25" customHeight="1" x14ac:dyDescent="0.25">
      <c r="A24" s="62"/>
      <c r="B24" s="2"/>
      <c r="C24" s="113" t="s">
        <v>17</v>
      </c>
      <c r="D24" s="114"/>
      <c r="E24" s="114"/>
      <c r="F24" s="114"/>
      <c r="G24" s="114"/>
      <c r="H24" s="114"/>
      <c r="I24" s="115"/>
      <c r="J24" s="116">
        <v>16</v>
      </c>
      <c r="K24" s="117"/>
      <c r="L24" s="117"/>
      <c r="M24" s="118"/>
      <c r="N24" s="117"/>
      <c r="O24" s="117"/>
      <c r="P24" s="117"/>
      <c r="Q24" s="118"/>
      <c r="R24" s="2"/>
      <c r="S24" s="63"/>
      <c r="T24" s="119"/>
      <c r="U24" s="119"/>
      <c r="V24" s="119"/>
      <c r="W24" s="119"/>
    </row>
    <row r="25" spans="1:23" ht="23.25" customHeight="1" x14ac:dyDescent="0.25">
      <c r="A25" s="62"/>
      <c r="B25" s="2"/>
      <c r="C25" s="79"/>
      <c r="D25" s="80"/>
      <c r="E25" s="80"/>
      <c r="F25" s="80" t="s">
        <v>96</v>
      </c>
      <c r="G25" s="80"/>
      <c r="H25" s="80"/>
      <c r="I25" s="81"/>
      <c r="J25" s="116">
        <v>12</v>
      </c>
      <c r="K25" s="117"/>
      <c r="L25" s="117"/>
      <c r="M25" s="118"/>
      <c r="N25" s="116"/>
      <c r="O25" s="117"/>
      <c r="P25" s="117"/>
      <c r="Q25" s="118"/>
      <c r="R25" s="2"/>
      <c r="S25" s="63"/>
      <c r="T25" s="77"/>
      <c r="U25" s="77"/>
      <c r="V25" s="77"/>
      <c r="W25" s="77"/>
    </row>
    <row r="26" spans="1:23" ht="23.25" customHeight="1" thickBot="1" x14ac:dyDescent="0.3">
      <c r="A26" s="62"/>
      <c r="B26" s="2"/>
      <c r="C26" s="120" t="s">
        <v>18</v>
      </c>
      <c r="D26" s="121"/>
      <c r="E26" s="121"/>
      <c r="F26" s="121"/>
      <c r="G26" s="121"/>
      <c r="H26" s="121"/>
      <c r="I26" s="122"/>
      <c r="J26" s="123">
        <v>17</v>
      </c>
      <c r="K26" s="124"/>
      <c r="L26" s="124"/>
      <c r="M26" s="125"/>
      <c r="N26" s="126"/>
      <c r="O26" s="126"/>
      <c r="P26" s="126"/>
      <c r="Q26" s="127"/>
      <c r="R26" s="2"/>
      <c r="S26" s="63"/>
      <c r="T26" s="92"/>
      <c r="U26" s="92"/>
      <c r="V26" s="92"/>
      <c r="W26" s="92"/>
    </row>
    <row r="27" spans="1:23" ht="6" customHeight="1" thickTop="1" thickBot="1" x14ac:dyDescent="0.3">
      <c r="A27" s="62"/>
      <c r="B27" s="2"/>
      <c r="C27" s="2"/>
      <c r="D27" s="2"/>
      <c r="E27" s="2"/>
      <c r="F27" s="2"/>
      <c r="G27" s="2"/>
      <c r="H27" s="2"/>
      <c r="I27" s="2"/>
      <c r="J27" s="43">
        <f>AVERAGE(J19:M26)</f>
        <v>15.5</v>
      </c>
      <c r="K27" s="43"/>
      <c r="L27" s="43"/>
      <c r="M27" s="43"/>
      <c r="N27" s="43"/>
      <c r="O27" s="43"/>
      <c r="P27" s="43"/>
      <c r="Q27" s="43"/>
      <c r="R27" s="2"/>
      <c r="S27" s="63"/>
      <c r="T27" s="92"/>
      <c r="U27" s="92"/>
      <c r="V27" s="92"/>
      <c r="W27" s="92"/>
    </row>
    <row r="28" spans="1:23" ht="23.25" customHeight="1" thickTop="1" thickBot="1" x14ac:dyDescent="0.3">
      <c r="A28" s="62"/>
      <c r="B28" s="2"/>
      <c r="C28" s="102" t="s">
        <v>12</v>
      </c>
      <c r="D28" s="103"/>
      <c r="E28" s="103"/>
      <c r="F28" s="103"/>
      <c r="G28" s="103"/>
      <c r="H28" s="103"/>
      <c r="I28" s="104"/>
      <c r="J28" s="105" t="s">
        <v>29</v>
      </c>
      <c r="K28" s="106"/>
      <c r="L28" s="106"/>
      <c r="M28" s="107"/>
      <c r="N28" s="108" t="s">
        <v>20</v>
      </c>
      <c r="O28" s="108"/>
      <c r="P28" s="108"/>
      <c r="Q28" s="109"/>
      <c r="R28" s="2"/>
      <c r="S28" s="63"/>
      <c r="T28" s="28"/>
      <c r="U28" s="28"/>
      <c r="V28" s="28"/>
      <c r="W28" s="28"/>
    </row>
    <row r="29" spans="1:23" ht="23.25" customHeight="1" thickTop="1" x14ac:dyDescent="0.25">
      <c r="A29" s="62"/>
      <c r="B29" s="2"/>
      <c r="C29" s="209" t="s">
        <v>24</v>
      </c>
      <c r="D29" s="210"/>
      <c r="E29" s="210"/>
      <c r="F29" s="210"/>
      <c r="G29" s="210"/>
      <c r="H29" s="210"/>
      <c r="I29" s="211"/>
      <c r="J29" s="212">
        <v>20</v>
      </c>
      <c r="K29" s="213"/>
      <c r="L29" s="213"/>
      <c r="M29" s="214"/>
      <c r="N29" s="213"/>
      <c r="O29" s="213"/>
      <c r="P29" s="213"/>
      <c r="Q29" s="214"/>
      <c r="R29" s="2"/>
      <c r="S29" s="63"/>
      <c r="T29" s="92"/>
      <c r="U29" s="92"/>
      <c r="V29" s="92"/>
      <c r="W29" s="92"/>
    </row>
    <row r="30" spans="1:23" ht="27" customHeight="1" thickBot="1" x14ac:dyDescent="0.3">
      <c r="A30" s="62"/>
      <c r="B30" s="2"/>
      <c r="C30" s="95" t="s">
        <v>28</v>
      </c>
      <c r="D30" s="96"/>
      <c r="E30" s="96"/>
      <c r="F30" s="96"/>
      <c r="G30" s="97"/>
      <c r="H30" s="97"/>
      <c r="I30" s="98"/>
      <c r="J30" s="173">
        <v>15</v>
      </c>
      <c r="K30" s="90"/>
      <c r="L30" s="90"/>
      <c r="M30" s="91"/>
      <c r="N30" s="90"/>
      <c r="O30" s="90"/>
      <c r="P30" s="90"/>
      <c r="Q30" s="91"/>
      <c r="R30" s="2"/>
      <c r="S30" s="63"/>
      <c r="T30" s="92"/>
      <c r="U30" s="92"/>
      <c r="V30" s="92"/>
      <c r="W30" s="92"/>
    </row>
    <row r="31" spans="1:23" ht="42.75" customHeight="1" thickTop="1" x14ac:dyDescent="0.25">
      <c r="A31" s="62"/>
      <c r="B31" s="2"/>
      <c r="C31" s="2" t="s">
        <v>21</v>
      </c>
      <c r="D31" s="2"/>
      <c r="E31" s="2"/>
      <c r="F31" s="2"/>
      <c r="G31" s="93"/>
      <c r="H31" s="93"/>
      <c r="I31" s="93"/>
      <c r="J31" s="2"/>
      <c r="K31" s="2"/>
      <c r="L31" s="2"/>
      <c r="M31" s="2"/>
      <c r="N31" s="2"/>
      <c r="O31" s="94"/>
      <c r="P31" s="94"/>
      <c r="Q31" s="94"/>
      <c r="R31" s="2"/>
      <c r="S31" s="63"/>
      <c r="T31" s="92"/>
      <c r="U31" s="92"/>
      <c r="V31" s="92"/>
      <c r="W31" s="92"/>
    </row>
    <row r="32" spans="1:23" ht="30" customHeight="1" x14ac:dyDescent="0.25">
      <c r="A32" s="62"/>
      <c r="B32" s="2"/>
      <c r="C32" s="2"/>
      <c r="D32" s="2"/>
      <c r="E32" s="2"/>
      <c r="F32" s="2"/>
      <c r="G32" s="27"/>
      <c r="H32" s="27"/>
      <c r="I32" s="27"/>
      <c r="J32" s="11" t="s">
        <v>23</v>
      </c>
      <c r="K32" s="2"/>
      <c r="L32" s="2"/>
      <c r="M32" s="2"/>
      <c r="N32" s="2"/>
      <c r="O32" s="2"/>
      <c r="P32" s="2"/>
      <c r="Q32" s="2"/>
      <c r="R32" s="2"/>
      <c r="S32" s="63"/>
    </row>
    <row r="33" spans="1:19" ht="30" customHeight="1" thickBot="1" x14ac:dyDescent="0.3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2"/>
    </row>
    <row r="34" spans="1:19" ht="30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19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</sheetData>
  <mergeCells count="88">
    <mergeCell ref="A4:S4"/>
    <mergeCell ref="A5:S5"/>
    <mergeCell ref="T6:W6"/>
    <mergeCell ref="T7:W7"/>
    <mergeCell ref="T8:T9"/>
    <mergeCell ref="U8:V9"/>
    <mergeCell ref="T10:W10"/>
    <mergeCell ref="G11:L11"/>
    <mergeCell ref="P11:R11"/>
    <mergeCell ref="T11:U11"/>
    <mergeCell ref="V11:W11"/>
    <mergeCell ref="N10:O10"/>
    <mergeCell ref="N11:O11"/>
    <mergeCell ref="G10:M10"/>
    <mergeCell ref="G14:L14"/>
    <mergeCell ref="M14:O14"/>
    <mergeCell ref="P14:R14"/>
    <mergeCell ref="P10:R10"/>
    <mergeCell ref="G12:L12"/>
    <mergeCell ref="N12:O12"/>
    <mergeCell ref="K13:R13"/>
    <mergeCell ref="C16:I17"/>
    <mergeCell ref="J16:Q16"/>
    <mergeCell ref="V16:W16"/>
    <mergeCell ref="J17:M17"/>
    <mergeCell ref="N17:Q17"/>
    <mergeCell ref="T17:U17"/>
    <mergeCell ref="V17:W17"/>
    <mergeCell ref="C19:I19"/>
    <mergeCell ref="J19:M19"/>
    <mergeCell ref="N19:Q19"/>
    <mergeCell ref="T19:U19"/>
    <mergeCell ref="V19:W19"/>
    <mergeCell ref="C18:I18"/>
    <mergeCell ref="J18:M18"/>
    <mergeCell ref="N18:Q18"/>
    <mergeCell ref="T18:U18"/>
    <mergeCell ref="V18:W18"/>
    <mergeCell ref="C21:I21"/>
    <mergeCell ref="J21:M21"/>
    <mergeCell ref="N21:Q21"/>
    <mergeCell ref="T21:U21"/>
    <mergeCell ref="V21:W21"/>
    <mergeCell ref="C20:I20"/>
    <mergeCell ref="J20:M20"/>
    <mergeCell ref="N20:Q20"/>
    <mergeCell ref="T20:U20"/>
    <mergeCell ref="V20:W20"/>
    <mergeCell ref="C23:I23"/>
    <mergeCell ref="J23:M23"/>
    <mergeCell ref="N23:Q23"/>
    <mergeCell ref="T23:U23"/>
    <mergeCell ref="V23:W23"/>
    <mergeCell ref="C22:I22"/>
    <mergeCell ref="J22:M22"/>
    <mergeCell ref="N22:Q22"/>
    <mergeCell ref="T22:U22"/>
    <mergeCell ref="V22:W22"/>
    <mergeCell ref="C24:I24"/>
    <mergeCell ref="J24:M24"/>
    <mergeCell ref="N24:Q24"/>
    <mergeCell ref="T24:W24"/>
    <mergeCell ref="C26:I26"/>
    <mergeCell ref="J26:M26"/>
    <mergeCell ref="N26:Q26"/>
    <mergeCell ref="T26:U26"/>
    <mergeCell ref="V26:W26"/>
    <mergeCell ref="J25:M25"/>
    <mergeCell ref="N25:Q25"/>
    <mergeCell ref="C29:I29"/>
    <mergeCell ref="J29:M29"/>
    <mergeCell ref="N29:Q29"/>
    <mergeCell ref="T29:U29"/>
    <mergeCell ref="V29:W29"/>
    <mergeCell ref="T27:U27"/>
    <mergeCell ref="V27:W27"/>
    <mergeCell ref="C28:I28"/>
    <mergeCell ref="J28:M28"/>
    <mergeCell ref="N28:Q28"/>
    <mergeCell ref="N30:Q30"/>
    <mergeCell ref="T30:U30"/>
    <mergeCell ref="V30:W30"/>
    <mergeCell ref="G31:I31"/>
    <mergeCell ref="O31:Q31"/>
    <mergeCell ref="T31:U31"/>
    <mergeCell ref="V31:W31"/>
    <mergeCell ref="C30:I30"/>
    <mergeCell ref="J30:M30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tabSelected="1" view="pageLayout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73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84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36369808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41037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73"/>
      <c r="U13" s="73"/>
      <c r="V13" s="73"/>
      <c r="W13" s="73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85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75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18</v>
      </c>
      <c r="K19" s="140"/>
      <c r="L19" s="140"/>
      <c r="M19" s="141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19</v>
      </c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17</v>
      </c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19</v>
      </c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20</v>
      </c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19</v>
      </c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18</v>
      </c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16</v>
      </c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18.25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76"/>
      <c r="U29" s="76"/>
      <c r="V29" s="76"/>
      <c r="W29" s="76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20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20</v>
      </c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K14:R14"/>
    <mergeCell ref="G15:L15"/>
    <mergeCell ref="M15:O15"/>
    <mergeCell ref="P15:R15"/>
    <mergeCell ref="G11:M11"/>
    <mergeCell ref="N11:O11"/>
    <mergeCell ref="P11:R11"/>
    <mergeCell ref="T11:W11"/>
    <mergeCell ref="G12:L12"/>
    <mergeCell ref="N12:O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W49"/>
  <sheetViews>
    <sheetView view="pageLayout" topLeftCell="A7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</row>
    <row r="2" spans="1:23" x14ac:dyDescent="0.25">
      <c r="A2" s="6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63"/>
    </row>
    <row r="3" spans="1:23" x14ac:dyDescent="0.25">
      <c r="A3" s="6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3"/>
    </row>
    <row r="4" spans="1:23" ht="7.5" customHeight="1" x14ac:dyDescent="0.25">
      <c r="A4" s="6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63"/>
    </row>
    <row r="5" spans="1:23" ht="20.25" customHeight="1" x14ac:dyDescent="0.25">
      <c r="A5" s="194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95"/>
    </row>
    <row r="6" spans="1:23" ht="18.75" customHeight="1" x14ac:dyDescent="0.25">
      <c r="A6" s="196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97"/>
      <c r="T6" s="2"/>
      <c r="U6" s="2"/>
      <c r="V6" s="2"/>
      <c r="W6" s="2"/>
    </row>
    <row r="7" spans="1:23" ht="15.75" customHeight="1" x14ac:dyDescent="0.25">
      <c r="A7" s="6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3"/>
      <c r="T7" s="171"/>
      <c r="U7" s="171"/>
      <c r="V7" s="171"/>
      <c r="W7" s="171"/>
    </row>
    <row r="8" spans="1:23" ht="31.5" customHeight="1" x14ac:dyDescent="0.25">
      <c r="A8" s="6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63"/>
      <c r="T8" s="172"/>
      <c r="U8" s="172"/>
      <c r="V8" s="172"/>
      <c r="W8" s="172"/>
    </row>
    <row r="9" spans="1:23" ht="18" customHeight="1" x14ac:dyDescent="0.25">
      <c r="A9" s="6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3"/>
      <c r="T9" s="159"/>
      <c r="U9" s="159"/>
      <c r="V9" s="159"/>
      <c r="W9" s="73"/>
    </row>
    <row r="10" spans="1:23" ht="3.75" customHeight="1" x14ac:dyDescent="0.25">
      <c r="A10" s="6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63"/>
      <c r="T10" s="159"/>
      <c r="U10" s="159"/>
      <c r="V10" s="159"/>
      <c r="W10" s="8"/>
    </row>
    <row r="11" spans="1:23" ht="21" customHeight="1" x14ac:dyDescent="0.25">
      <c r="A11" s="62"/>
      <c r="B11" s="3" t="s">
        <v>2</v>
      </c>
      <c r="C11" s="3"/>
      <c r="D11" s="3"/>
      <c r="E11" s="3"/>
      <c r="F11" s="3"/>
      <c r="G11" s="164" t="s">
        <v>86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35004487</v>
      </c>
      <c r="Q11" s="157"/>
      <c r="R11" s="157"/>
      <c r="S11" s="64"/>
      <c r="T11" s="132"/>
      <c r="U11" s="132"/>
      <c r="V11" s="132"/>
      <c r="W11" s="132"/>
    </row>
    <row r="12" spans="1:23" ht="21" customHeight="1" x14ac:dyDescent="0.25">
      <c r="A12" s="62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65"/>
      <c r="T12" s="159"/>
      <c r="U12" s="159"/>
      <c r="V12" s="159"/>
      <c r="W12" s="159"/>
    </row>
    <row r="13" spans="1:23" ht="21" customHeight="1" x14ac:dyDescent="0.25">
      <c r="A13" s="62"/>
      <c r="B13" s="4" t="s">
        <v>5</v>
      </c>
      <c r="C13" s="3"/>
      <c r="D13" s="5"/>
      <c r="E13" s="5"/>
      <c r="F13" s="5"/>
      <c r="G13" s="160">
        <v>41255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64"/>
      <c r="T13" s="73"/>
      <c r="U13" s="73"/>
      <c r="V13" s="73"/>
      <c r="W13" s="73"/>
    </row>
    <row r="14" spans="1:23" ht="21" customHeight="1" x14ac:dyDescent="0.25">
      <c r="A14" s="62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87</v>
      </c>
      <c r="L14" s="157"/>
      <c r="M14" s="157"/>
      <c r="N14" s="157"/>
      <c r="O14" s="157"/>
      <c r="P14" s="157"/>
      <c r="Q14" s="157"/>
      <c r="R14" s="157"/>
      <c r="S14" s="66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67"/>
      <c r="B16" s="4"/>
      <c r="C16" s="4"/>
      <c r="D16" s="4"/>
      <c r="E16" s="4"/>
      <c r="F16" s="4"/>
      <c r="G16" s="142"/>
      <c r="H16" s="142"/>
      <c r="I16" s="75"/>
      <c r="J16" s="4"/>
      <c r="K16" s="4"/>
      <c r="L16" s="4"/>
      <c r="M16" s="5"/>
      <c r="N16" s="5"/>
      <c r="O16" s="5"/>
      <c r="P16" s="5"/>
      <c r="Q16" s="5"/>
      <c r="R16" s="5"/>
      <c r="S16" s="68"/>
      <c r="T16" s="131"/>
      <c r="U16" s="131"/>
      <c r="V16" s="132"/>
      <c r="W16" s="132"/>
    </row>
    <row r="17" spans="1:23" ht="31.5" customHeight="1" thickTop="1" thickBot="1" x14ac:dyDescent="0.3">
      <c r="A17" s="67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69"/>
      <c r="T17" s="10"/>
      <c r="U17" s="10"/>
      <c r="V17" s="132"/>
      <c r="W17" s="132"/>
    </row>
    <row r="18" spans="1:23" ht="31.5" customHeight="1" thickTop="1" thickBot="1" x14ac:dyDescent="0.3">
      <c r="A18" s="67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68"/>
      <c r="T18" s="131"/>
      <c r="U18" s="131"/>
      <c r="V18" s="132"/>
      <c r="W18" s="132"/>
    </row>
    <row r="19" spans="1:23" ht="23.25" customHeight="1" thickTop="1" x14ac:dyDescent="0.25">
      <c r="A19" s="62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13</v>
      </c>
      <c r="K19" s="140"/>
      <c r="L19" s="140"/>
      <c r="M19" s="141"/>
      <c r="N19" s="140"/>
      <c r="O19" s="140"/>
      <c r="P19" s="140"/>
      <c r="Q19" s="141"/>
      <c r="R19" s="2"/>
      <c r="S19" s="63"/>
      <c r="T19" s="131"/>
      <c r="U19" s="131"/>
      <c r="V19" s="132"/>
      <c r="W19" s="132"/>
    </row>
    <row r="20" spans="1:23" ht="23.25" customHeight="1" x14ac:dyDescent="0.25">
      <c r="A20" s="62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18</v>
      </c>
      <c r="K20" s="117"/>
      <c r="L20" s="117"/>
      <c r="M20" s="118"/>
      <c r="N20" s="117"/>
      <c r="O20" s="117"/>
      <c r="P20" s="117"/>
      <c r="Q20" s="118"/>
      <c r="R20" s="2"/>
      <c r="S20" s="63"/>
      <c r="T20" s="131"/>
      <c r="U20" s="131"/>
      <c r="V20" s="132"/>
      <c r="W20" s="132"/>
    </row>
    <row r="21" spans="1:23" ht="23.25" customHeight="1" x14ac:dyDescent="0.25">
      <c r="A21" s="62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13</v>
      </c>
      <c r="K21" s="117"/>
      <c r="L21" s="117"/>
      <c r="M21" s="118"/>
      <c r="N21" s="117"/>
      <c r="O21" s="117"/>
      <c r="P21" s="117"/>
      <c r="Q21" s="118"/>
      <c r="R21" s="2"/>
      <c r="S21" s="63"/>
      <c r="T21" s="131"/>
      <c r="U21" s="131"/>
      <c r="V21" s="132"/>
      <c r="W21" s="132"/>
    </row>
    <row r="22" spans="1:23" ht="23.25" customHeight="1" x14ac:dyDescent="0.25">
      <c r="A22" s="62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19</v>
      </c>
      <c r="K22" s="117"/>
      <c r="L22" s="117"/>
      <c r="M22" s="118"/>
      <c r="N22" s="117"/>
      <c r="O22" s="117"/>
      <c r="P22" s="117"/>
      <c r="Q22" s="118"/>
      <c r="R22" s="2"/>
      <c r="S22" s="63"/>
      <c r="T22" s="131"/>
      <c r="U22" s="131"/>
      <c r="V22" s="132"/>
      <c r="W22" s="132"/>
    </row>
    <row r="23" spans="1:23" ht="23.25" customHeight="1" x14ac:dyDescent="0.25">
      <c r="A23" s="62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15</v>
      </c>
      <c r="K23" s="117"/>
      <c r="L23" s="117"/>
      <c r="M23" s="118"/>
      <c r="N23" s="117"/>
      <c r="O23" s="117"/>
      <c r="P23" s="117"/>
      <c r="Q23" s="118"/>
      <c r="R23" s="2"/>
      <c r="S23" s="63"/>
      <c r="T23" s="131"/>
      <c r="U23" s="131"/>
      <c r="V23" s="132"/>
      <c r="W23" s="132"/>
    </row>
    <row r="24" spans="1:23" ht="23.25" customHeight="1" x14ac:dyDescent="0.25">
      <c r="A24" s="62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18</v>
      </c>
      <c r="K24" s="117"/>
      <c r="L24" s="117"/>
      <c r="M24" s="118"/>
      <c r="N24" s="117"/>
      <c r="O24" s="117"/>
      <c r="P24" s="117"/>
      <c r="Q24" s="118"/>
      <c r="R24" s="2"/>
      <c r="S24" s="63"/>
      <c r="T24" s="133"/>
      <c r="U24" s="133"/>
      <c r="V24" s="132"/>
      <c r="W24" s="132"/>
    </row>
    <row r="25" spans="1:23" ht="23.25" customHeight="1" x14ac:dyDescent="0.25">
      <c r="A25" s="62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15</v>
      </c>
      <c r="K25" s="117"/>
      <c r="L25" s="117"/>
      <c r="M25" s="118"/>
      <c r="N25" s="117"/>
      <c r="O25" s="117"/>
      <c r="P25" s="117"/>
      <c r="Q25" s="118"/>
      <c r="R25" s="2"/>
      <c r="S25" s="63"/>
      <c r="T25" s="119"/>
      <c r="U25" s="119"/>
      <c r="V25" s="119"/>
      <c r="W25" s="119"/>
    </row>
    <row r="26" spans="1:23" ht="23.25" customHeight="1" x14ac:dyDescent="0.25">
      <c r="A26" s="62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15</v>
      </c>
      <c r="K26" s="117"/>
      <c r="L26" s="117"/>
      <c r="M26" s="118"/>
      <c r="N26" s="116"/>
      <c r="O26" s="117"/>
      <c r="P26" s="117"/>
      <c r="Q26" s="118"/>
      <c r="R26" s="2"/>
      <c r="S26" s="63"/>
      <c r="T26" s="77"/>
      <c r="U26" s="77"/>
      <c r="V26" s="77"/>
      <c r="W26" s="77"/>
    </row>
    <row r="27" spans="1:23" ht="23.25" customHeight="1" thickBot="1" x14ac:dyDescent="0.3">
      <c r="A27" s="62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15.75</v>
      </c>
      <c r="K27" s="124"/>
      <c r="L27" s="124"/>
      <c r="M27" s="125"/>
      <c r="N27" s="126"/>
      <c r="O27" s="126"/>
      <c r="P27" s="126"/>
      <c r="Q27" s="127"/>
      <c r="R27" s="2"/>
      <c r="S27" s="63"/>
      <c r="T27" s="92"/>
      <c r="U27" s="92"/>
      <c r="V27" s="92"/>
      <c r="W27" s="92"/>
    </row>
    <row r="28" spans="1:23" ht="6" customHeight="1" thickTop="1" thickBot="1" x14ac:dyDescent="0.3">
      <c r="A28" s="62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63"/>
      <c r="T28" s="92"/>
      <c r="U28" s="92"/>
      <c r="V28" s="92"/>
      <c r="W28" s="92"/>
    </row>
    <row r="29" spans="1:23" ht="23.25" customHeight="1" thickTop="1" thickBot="1" x14ac:dyDescent="0.3">
      <c r="A29" s="62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63"/>
      <c r="T29" s="76"/>
      <c r="U29" s="76"/>
      <c r="V29" s="76"/>
      <c r="W29" s="76"/>
    </row>
    <row r="30" spans="1:23" ht="23.25" customHeight="1" thickTop="1" x14ac:dyDescent="0.25">
      <c r="A30" s="62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18</v>
      </c>
      <c r="K30" s="100"/>
      <c r="L30" s="100"/>
      <c r="M30" s="101"/>
      <c r="N30" s="100"/>
      <c r="O30" s="100"/>
      <c r="P30" s="100"/>
      <c r="Q30" s="101"/>
      <c r="R30" s="2"/>
      <c r="S30" s="63"/>
      <c r="T30" s="92"/>
      <c r="U30" s="92"/>
      <c r="V30" s="92"/>
      <c r="W30" s="92"/>
    </row>
    <row r="31" spans="1:23" ht="27" customHeight="1" thickBot="1" x14ac:dyDescent="0.3">
      <c r="A31" s="62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15</v>
      </c>
      <c r="K31" s="90"/>
      <c r="L31" s="90"/>
      <c r="M31" s="91"/>
      <c r="N31" s="90"/>
      <c r="O31" s="90"/>
      <c r="P31" s="90"/>
      <c r="Q31" s="91"/>
      <c r="R31" s="2"/>
      <c r="S31" s="63"/>
      <c r="T31" s="92"/>
      <c r="U31" s="92"/>
      <c r="V31" s="92"/>
      <c r="W31" s="92"/>
    </row>
    <row r="32" spans="1:23" ht="42.75" customHeight="1" thickTop="1" x14ac:dyDescent="0.25">
      <c r="A32" s="62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63"/>
      <c r="T32" s="92"/>
      <c r="U32" s="92"/>
      <c r="V32" s="92"/>
      <c r="W32" s="92"/>
    </row>
    <row r="33" spans="1:19" ht="30" customHeight="1" x14ac:dyDescent="0.25">
      <c r="A33" s="62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63"/>
    </row>
    <row r="34" spans="1:19" ht="30" customHeight="1" thickBot="1" x14ac:dyDescent="0.3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2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K14:R14"/>
    <mergeCell ref="G15:L15"/>
    <mergeCell ref="M15:O15"/>
    <mergeCell ref="P15:R15"/>
    <mergeCell ref="G11:M11"/>
    <mergeCell ref="N11:O11"/>
    <mergeCell ref="P11:R11"/>
    <mergeCell ref="T11:W11"/>
    <mergeCell ref="G12:L12"/>
    <mergeCell ref="N12:O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topLeftCell="A8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73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91</v>
      </c>
      <c r="H11" s="164"/>
      <c r="I11" s="164"/>
      <c r="J11" s="164"/>
      <c r="K11" s="164"/>
      <c r="L11" s="164"/>
      <c r="M11" s="164"/>
      <c r="N11" s="163" t="s">
        <v>88</v>
      </c>
      <c r="O11" s="163"/>
      <c r="P11" s="157">
        <v>1121589351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41237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73"/>
      <c r="U13" s="73"/>
      <c r="V13" s="73"/>
      <c r="W13" s="73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92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75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19</v>
      </c>
      <c r="K19" s="140"/>
      <c r="L19" s="140"/>
      <c r="M19" s="141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19</v>
      </c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17</v>
      </c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20</v>
      </c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18</v>
      </c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18</v>
      </c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17</v>
      </c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16</v>
      </c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18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76"/>
      <c r="U29" s="76"/>
      <c r="V29" s="76"/>
      <c r="W29" s="76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20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17</v>
      </c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K14:R14"/>
    <mergeCell ref="G15:L15"/>
    <mergeCell ref="M15:O15"/>
    <mergeCell ref="P15:R15"/>
    <mergeCell ref="G11:M11"/>
    <mergeCell ref="N11:O11"/>
    <mergeCell ref="P11:R11"/>
    <mergeCell ref="T11:W11"/>
    <mergeCell ref="G12:L12"/>
    <mergeCell ref="N12:O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 vertic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topLeftCell="A10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73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89</v>
      </c>
      <c r="H11" s="164"/>
      <c r="I11" s="164"/>
      <c r="J11" s="164"/>
      <c r="K11" s="164"/>
      <c r="L11" s="164"/>
      <c r="M11" s="164"/>
      <c r="N11" s="163" t="s">
        <v>93</v>
      </c>
      <c r="O11" s="163"/>
      <c r="P11" s="157">
        <v>11219662425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41113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73"/>
      <c r="U13" s="73"/>
      <c r="V13" s="73"/>
      <c r="W13" s="73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90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75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74">
        <v>11</v>
      </c>
      <c r="K19" s="140"/>
      <c r="L19" s="140"/>
      <c r="M19" s="141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>
        <v>19</v>
      </c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>
        <v>12</v>
      </c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>
        <v>18</v>
      </c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>
        <v>12</v>
      </c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>
        <v>17</v>
      </c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>
        <v>14</v>
      </c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>
        <v>15</v>
      </c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>
        <f>AVERAGE(J19:M26)</f>
        <v>14.75</v>
      </c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76"/>
      <c r="U29" s="76"/>
      <c r="V29" s="76"/>
      <c r="W29" s="76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>
        <v>15</v>
      </c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>
        <v>16</v>
      </c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K14:R14"/>
    <mergeCell ref="G15:L15"/>
    <mergeCell ref="M15:O15"/>
    <mergeCell ref="P15:R15"/>
    <mergeCell ref="G11:M11"/>
    <mergeCell ref="N11:O11"/>
    <mergeCell ref="P11:R11"/>
    <mergeCell ref="T11:W11"/>
    <mergeCell ref="G12:L12"/>
    <mergeCell ref="N12:O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 vertic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3C89"/>
  </sheetPr>
  <dimension ref="A1:W49"/>
  <sheetViews>
    <sheetView view="pageLayout" zoomScaleNormal="100" workbookViewId="0">
      <selection activeCell="T18" sqref="T18:U18"/>
    </sheetView>
  </sheetViews>
  <sheetFormatPr baseColWidth="10" defaultRowHeight="15" x14ac:dyDescent="0.25"/>
  <cols>
    <col min="1" max="1" width="4.85546875" style="1" customWidth="1"/>
    <col min="2" max="2" width="4" style="1" customWidth="1"/>
    <col min="3" max="5" width="4.85546875" style="1" customWidth="1"/>
    <col min="6" max="6" width="6.71093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65" t="s">
        <v>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23" ht="18.75" customHeight="1" x14ac:dyDescent="0.25">
      <c r="A6" s="168" t="s">
        <v>105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71"/>
      <c r="U7" s="171"/>
      <c r="V7" s="171"/>
      <c r="W7" s="171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72"/>
      <c r="U8" s="172"/>
      <c r="V8" s="172"/>
      <c r="W8" s="172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59"/>
      <c r="U9" s="159"/>
      <c r="V9" s="159"/>
      <c r="W9" s="73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59"/>
      <c r="U10" s="159"/>
      <c r="V10" s="159"/>
      <c r="W10" s="8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64" t="s">
        <v>95</v>
      </c>
      <c r="H11" s="164"/>
      <c r="I11" s="164"/>
      <c r="J11" s="164"/>
      <c r="K11" s="164"/>
      <c r="L11" s="164"/>
      <c r="M11" s="164"/>
      <c r="N11" s="163" t="s">
        <v>3</v>
      </c>
      <c r="O11" s="163"/>
      <c r="P11" s="157">
        <v>34959486</v>
      </c>
      <c r="Q11" s="157"/>
      <c r="R11" s="157"/>
      <c r="S11" s="18"/>
      <c r="T11" s="132"/>
      <c r="U11" s="132"/>
      <c r="V11" s="132"/>
      <c r="W11" s="13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8" t="s">
        <v>54</v>
      </c>
      <c r="H12" s="158"/>
      <c r="I12" s="158"/>
      <c r="J12" s="158"/>
      <c r="K12" s="158"/>
      <c r="L12" s="158"/>
      <c r="M12" s="3"/>
      <c r="N12" s="163" t="s">
        <v>11</v>
      </c>
      <c r="O12" s="163"/>
      <c r="P12" s="158">
        <v>13</v>
      </c>
      <c r="Q12" s="158"/>
      <c r="R12" s="158"/>
      <c r="S12" s="19"/>
      <c r="T12" s="159"/>
      <c r="U12" s="159"/>
      <c r="V12" s="159"/>
      <c r="W12" s="159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60">
        <v>41136</v>
      </c>
      <c r="H13" s="158"/>
      <c r="I13" s="158"/>
      <c r="J13" s="158"/>
      <c r="K13" s="158"/>
      <c r="L13" s="158"/>
      <c r="M13" s="3" t="s">
        <v>6</v>
      </c>
      <c r="N13" s="175" t="s">
        <v>98</v>
      </c>
      <c r="O13" s="175"/>
      <c r="P13" s="6" t="s">
        <v>7</v>
      </c>
      <c r="Q13" s="6"/>
      <c r="R13" s="78" t="s">
        <v>25</v>
      </c>
      <c r="S13" s="18"/>
      <c r="T13" s="73"/>
      <c r="U13" s="73"/>
      <c r="V13" s="73"/>
      <c r="W13" s="73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57" t="s">
        <v>94</v>
      </c>
      <c r="L14" s="157"/>
      <c r="M14" s="157"/>
      <c r="N14" s="157"/>
      <c r="O14" s="157"/>
      <c r="P14" s="157"/>
      <c r="Q14" s="157"/>
      <c r="R14" s="15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57" t="s">
        <v>101</v>
      </c>
      <c r="H15" s="157"/>
      <c r="I15" s="157"/>
      <c r="J15" s="157"/>
      <c r="K15" s="157"/>
      <c r="L15" s="157"/>
      <c r="M15" s="162" t="s">
        <v>8</v>
      </c>
      <c r="N15" s="162"/>
      <c r="O15" s="162"/>
      <c r="P15" s="157" t="s">
        <v>102</v>
      </c>
      <c r="Q15" s="157"/>
      <c r="R15" s="157"/>
      <c r="S15" s="20"/>
    </row>
    <row r="16" spans="1:23" ht="29.25" customHeight="1" thickBot="1" x14ac:dyDescent="0.3">
      <c r="A16" s="21"/>
      <c r="B16" s="4"/>
      <c r="C16" s="4"/>
      <c r="D16" s="4"/>
      <c r="E16" s="4"/>
      <c r="F16" s="4"/>
      <c r="G16" s="142"/>
      <c r="H16" s="142"/>
      <c r="I16" s="75"/>
      <c r="J16" s="4"/>
      <c r="K16" s="4"/>
      <c r="L16" s="4"/>
      <c r="M16" s="5"/>
      <c r="N16" s="5"/>
      <c r="O16" s="5"/>
      <c r="P16" s="5"/>
      <c r="Q16" s="5"/>
      <c r="R16" s="5"/>
      <c r="S16" s="22"/>
      <c r="T16" s="131"/>
      <c r="U16" s="131"/>
      <c r="V16" s="132"/>
      <c r="W16" s="132"/>
    </row>
    <row r="17" spans="1:23" ht="31.5" customHeight="1" thickTop="1" thickBot="1" x14ac:dyDescent="0.3">
      <c r="A17" s="21"/>
      <c r="B17" s="3"/>
      <c r="C17" s="143" t="s">
        <v>12</v>
      </c>
      <c r="D17" s="144"/>
      <c r="E17" s="144"/>
      <c r="F17" s="144"/>
      <c r="G17" s="144"/>
      <c r="H17" s="144"/>
      <c r="I17" s="145"/>
      <c r="J17" s="149" t="s">
        <v>19</v>
      </c>
      <c r="K17" s="150"/>
      <c r="L17" s="150"/>
      <c r="M17" s="150"/>
      <c r="N17" s="150"/>
      <c r="O17" s="150"/>
      <c r="P17" s="150"/>
      <c r="Q17" s="151"/>
      <c r="R17" s="9"/>
      <c r="S17" s="23"/>
      <c r="T17" s="10"/>
      <c r="U17" s="10"/>
      <c r="V17" s="132"/>
      <c r="W17" s="132"/>
    </row>
    <row r="18" spans="1:23" ht="31.5" customHeight="1" thickTop="1" thickBot="1" x14ac:dyDescent="0.3">
      <c r="A18" s="21"/>
      <c r="B18" s="3"/>
      <c r="C18" s="146"/>
      <c r="D18" s="147"/>
      <c r="E18" s="147"/>
      <c r="F18" s="147"/>
      <c r="G18" s="147"/>
      <c r="H18" s="147"/>
      <c r="I18" s="148"/>
      <c r="J18" s="152" t="s">
        <v>30</v>
      </c>
      <c r="K18" s="153"/>
      <c r="L18" s="153"/>
      <c r="M18" s="154"/>
      <c r="N18" s="155" t="s">
        <v>20</v>
      </c>
      <c r="O18" s="155"/>
      <c r="P18" s="155"/>
      <c r="Q18" s="156"/>
      <c r="R18" s="5"/>
      <c r="S18" s="22"/>
      <c r="T18" s="131"/>
      <c r="U18" s="131"/>
      <c r="V18" s="132"/>
      <c r="W18" s="132"/>
    </row>
    <row r="19" spans="1:23" ht="23.25" customHeight="1" thickTop="1" x14ac:dyDescent="0.25">
      <c r="A19" s="16"/>
      <c r="B19" s="2"/>
      <c r="C19" s="134" t="s">
        <v>13</v>
      </c>
      <c r="D19" s="135"/>
      <c r="E19" s="135"/>
      <c r="F19" s="135"/>
      <c r="G19" s="135"/>
      <c r="H19" s="135"/>
      <c r="I19" s="136"/>
      <c r="J19" s="174"/>
      <c r="K19" s="140"/>
      <c r="L19" s="140"/>
      <c r="M19" s="141"/>
      <c r="N19" s="140"/>
      <c r="O19" s="140"/>
      <c r="P19" s="140"/>
      <c r="Q19" s="141"/>
      <c r="R19" s="2"/>
      <c r="S19" s="17"/>
      <c r="T19" s="131"/>
      <c r="U19" s="131"/>
      <c r="V19" s="132"/>
      <c r="W19" s="132"/>
    </row>
    <row r="20" spans="1:23" ht="23.25" customHeight="1" x14ac:dyDescent="0.25">
      <c r="A20" s="16"/>
      <c r="B20" s="2"/>
      <c r="C20" s="128" t="s">
        <v>14</v>
      </c>
      <c r="D20" s="129"/>
      <c r="E20" s="129"/>
      <c r="F20" s="129"/>
      <c r="G20" s="129"/>
      <c r="H20" s="129"/>
      <c r="I20" s="130"/>
      <c r="J20" s="116"/>
      <c r="K20" s="117"/>
      <c r="L20" s="117"/>
      <c r="M20" s="118"/>
      <c r="N20" s="117"/>
      <c r="O20" s="117"/>
      <c r="P20" s="117"/>
      <c r="Q20" s="118"/>
      <c r="R20" s="2"/>
      <c r="S20" s="17"/>
      <c r="T20" s="131"/>
      <c r="U20" s="131"/>
      <c r="V20" s="132"/>
      <c r="W20" s="132"/>
    </row>
    <row r="21" spans="1:23" ht="23.25" customHeight="1" x14ac:dyDescent="0.25">
      <c r="A21" s="16"/>
      <c r="B21" s="2"/>
      <c r="C21" s="128" t="s">
        <v>15</v>
      </c>
      <c r="D21" s="129"/>
      <c r="E21" s="129"/>
      <c r="F21" s="129"/>
      <c r="G21" s="129"/>
      <c r="H21" s="129"/>
      <c r="I21" s="130"/>
      <c r="J21" s="116"/>
      <c r="K21" s="117"/>
      <c r="L21" s="117"/>
      <c r="M21" s="118"/>
      <c r="N21" s="117"/>
      <c r="O21" s="117"/>
      <c r="P21" s="117"/>
      <c r="Q21" s="118"/>
      <c r="R21" s="2"/>
      <c r="S21" s="17"/>
      <c r="T21" s="131"/>
      <c r="U21" s="131"/>
      <c r="V21" s="132"/>
      <c r="W21" s="132"/>
    </row>
    <row r="22" spans="1:23" ht="23.25" customHeight="1" x14ac:dyDescent="0.25">
      <c r="A22" s="16"/>
      <c r="B22" s="2"/>
      <c r="C22" s="128" t="s">
        <v>16</v>
      </c>
      <c r="D22" s="129"/>
      <c r="E22" s="129"/>
      <c r="F22" s="129"/>
      <c r="G22" s="129"/>
      <c r="H22" s="129"/>
      <c r="I22" s="130"/>
      <c r="J22" s="116"/>
      <c r="K22" s="117"/>
      <c r="L22" s="117"/>
      <c r="M22" s="118"/>
      <c r="N22" s="117"/>
      <c r="O22" s="117"/>
      <c r="P22" s="117"/>
      <c r="Q22" s="118"/>
      <c r="R22" s="2"/>
      <c r="S22" s="17"/>
      <c r="T22" s="131"/>
      <c r="U22" s="131"/>
      <c r="V22" s="132"/>
      <c r="W22" s="132"/>
    </row>
    <row r="23" spans="1:23" ht="23.25" customHeight="1" x14ac:dyDescent="0.25">
      <c r="A23" s="16"/>
      <c r="B23" s="2"/>
      <c r="C23" s="128" t="s">
        <v>26</v>
      </c>
      <c r="D23" s="129"/>
      <c r="E23" s="129"/>
      <c r="F23" s="129"/>
      <c r="G23" s="129"/>
      <c r="H23" s="129"/>
      <c r="I23" s="130"/>
      <c r="J23" s="116"/>
      <c r="K23" s="117"/>
      <c r="L23" s="117"/>
      <c r="M23" s="118"/>
      <c r="N23" s="117"/>
      <c r="O23" s="117"/>
      <c r="P23" s="117"/>
      <c r="Q23" s="118"/>
      <c r="R23" s="2"/>
      <c r="S23" s="17"/>
      <c r="T23" s="131"/>
      <c r="U23" s="131"/>
      <c r="V23" s="132"/>
      <c r="W23" s="132"/>
    </row>
    <row r="24" spans="1:23" ht="23.25" customHeight="1" x14ac:dyDescent="0.25">
      <c r="A24" s="16"/>
      <c r="B24" s="2"/>
      <c r="C24" s="128" t="s">
        <v>27</v>
      </c>
      <c r="D24" s="129"/>
      <c r="E24" s="129"/>
      <c r="F24" s="129"/>
      <c r="G24" s="129"/>
      <c r="H24" s="129"/>
      <c r="I24" s="130"/>
      <c r="J24" s="116"/>
      <c r="K24" s="117"/>
      <c r="L24" s="117"/>
      <c r="M24" s="118"/>
      <c r="N24" s="117"/>
      <c r="O24" s="117"/>
      <c r="P24" s="117"/>
      <c r="Q24" s="118"/>
      <c r="R24" s="2"/>
      <c r="S24" s="17"/>
      <c r="T24" s="133"/>
      <c r="U24" s="133"/>
      <c r="V24" s="132"/>
      <c r="W24" s="132"/>
    </row>
    <row r="25" spans="1:23" ht="23.25" customHeight="1" x14ac:dyDescent="0.25">
      <c r="A25" s="16"/>
      <c r="B25" s="2"/>
      <c r="C25" s="113" t="s">
        <v>17</v>
      </c>
      <c r="D25" s="114"/>
      <c r="E25" s="114"/>
      <c r="F25" s="114"/>
      <c r="G25" s="114"/>
      <c r="H25" s="114"/>
      <c r="I25" s="115"/>
      <c r="J25" s="116"/>
      <c r="K25" s="117"/>
      <c r="L25" s="117"/>
      <c r="M25" s="118"/>
      <c r="N25" s="117"/>
      <c r="O25" s="117"/>
      <c r="P25" s="117"/>
      <c r="Q25" s="118"/>
      <c r="R25" s="2"/>
      <c r="S25" s="17"/>
      <c r="T25" s="119"/>
      <c r="U25" s="119"/>
      <c r="V25" s="119"/>
      <c r="W25" s="119"/>
    </row>
    <row r="26" spans="1:23" ht="23.25" customHeight="1" x14ac:dyDescent="0.25">
      <c r="A26" s="16"/>
      <c r="B26" s="2"/>
      <c r="C26" s="79"/>
      <c r="D26" s="80"/>
      <c r="E26" s="80"/>
      <c r="F26" s="80" t="s">
        <v>96</v>
      </c>
      <c r="G26" s="80"/>
      <c r="H26" s="80"/>
      <c r="I26" s="81"/>
      <c r="J26" s="116"/>
      <c r="K26" s="117"/>
      <c r="L26" s="117"/>
      <c r="M26" s="118"/>
      <c r="N26" s="116"/>
      <c r="O26" s="117"/>
      <c r="P26" s="117"/>
      <c r="Q26" s="118"/>
      <c r="R26" s="2"/>
      <c r="S26" s="17"/>
      <c r="T26" s="77"/>
      <c r="U26" s="77"/>
      <c r="V26" s="77"/>
      <c r="W26" s="77"/>
    </row>
    <row r="27" spans="1:23" ht="23.25" customHeight="1" thickBot="1" x14ac:dyDescent="0.3">
      <c r="A27" s="16"/>
      <c r="B27" s="2"/>
      <c r="C27" s="120" t="s">
        <v>18</v>
      </c>
      <c r="D27" s="121"/>
      <c r="E27" s="121"/>
      <c r="F27" s="121"/>
      <c r="G27" s="121"/>
      <c r="H27" s="121"/>
      <c r="I27" s="122"/>
      <c r="J27" s="123"/>
      <c r="K27" s="124"/>
      <c r="L27" s="124"/>
      <c r="M27" s="125"/>
      <c r="N27" s="126"/>
      <c r="O27" s="126"/>
      <c r="P27" s="126"/>
      <c r="Q27" s="127"/>
      <c r="R27" s="2"/>
      <c r="S27" s="17"/>
      <c r="T27" s="92"/>
      <c r="U27" s="92"/>
      <c r="V27" s="92"/>
      <c r="W27" s="92"/>
    </row>
    <row r="28" spans="1:23" ht="6" customHeight="1" thickTop="1" thickBot="1" x14ac:dyDescent="0.3">
      <c r="A28" s="16"/>
      <c r="B28" s="2"/>
      <c r="C28" s="2"/>
      <c r="D28" s="2"/>
      <c r="E28" s="2"/>
      <c r="F28" s="2"/>
      <c r="G28" s="2"/>
      <c r="H28" s="2"/>
      <c r="I28" s="2"/>
      <c r="J28" s="43"/>
      <c r="K28" s="43"/>
      <c r="L28" s="43"/>
      <c r="M28" s="43"/>
      <c r="N28" s="43"/>
      <c r="O28" s="43"/>
      <c r="P28" s="43"/>
      <c r="Q28" s="43"/>
      <c r="R28" s="2"/>
      <c r="S28" s="17"/>
      <c r="T28" s="92"/>
      <c r="U28" s="92"/>
      <c r="V28" s="92"/>
      <c r="W28" s="92"/>
    </row>
    <row r="29" spans="1:23" ht="23.25" customHeight="1" thickTop="1" thickBot="1" x14ac:dyDescent="0.3">
      <c r="A29" s="16"/>
      <c r="B29" s="2"/>
      <c r="C29" s="102" t="s">
        <v>12</v>
      </c>
      <c r="D29" s="103"/>
      <c r="E29" s="103"/>
      <c r="F29" s="103"/>
      <c r="G29" s="103"/>
      <c r="H29" s="103"/>
      <c r="I29" s="104"/>
      <c r="J29" s="105" t="s">
        <v>29</v>
      </c>
      <c r="K29" s="106"/>
      <c r="L29" s="106"/>
      <c r="M29" s="107"/>
      <c r="N29" s="108" t="s">
        <v>20</v>
      </c>
      <c r="O29" s="108"/>
      <c r="P29" s="108"/>
      <c r="Q29" s="109"/>
      <c r="R29" s="2"/>
      <c r="S29" s="17"/>
      <c r="T29" s="76"/>
      <c r="U29" s="76"/>
      <c r="V29" s="76"/>
      <c r="W29" s="76"/>
    </row>
    <row r="30" spans="1:23" ht="23.25" customHeight="1" thickTop="1" x14ac:dyDescent="0.25">
      <c r="A30" s="16"/>
      <c r="B30" s="2"/>
      <c r="C30" s="110" t="s">
        <v>24</v>
      </c>
      <c r="D30" s="111"/>
      <c r="E30" s="111"/>
      <c r="F30" s="111"/>
      <c r="G30" s="111"/>
      <c r="H30" s="111"/>
      <c r="I30" s="112"/>
      <c r="J30" s="99"/>
      <c r="K30" s="100"/>
      <c r="L30" s="100"/>
      <c r="M30" s="101"/>
      <c r="N30" s="100"/>
      <c r="O30" s="100"/>
      <c r="P30" s="100"/>
      <c r="Q30" s="101"/>
      <c r="R30" s="2"/>
      <c r="S30" s="17"/>
      <c r="T30" s="92"/>
      <c r="U30" s="92"/>
      <c r="V30" s="92"/>
      <c r="W30" s="92"/>
    </row>
    <row r="31" spans="1:23" ht="27" customHeight="1" thickBot="1" x14ac:dyDescent="0.3">
      <c r="A31" s="16"/>
      <c r="B31" s="2"/>
      <c r="C31" s="95" t="s">
        <v>28</v>
      </c>
      <c r="D31" s="96"/>
      <c r="E31" s="96"/>
      <c r="F31" s="96"/>
      <c r="G31" s="97"/>
      <c r="H31" s="97"/>
      <c r="I31" s="98"/>
      <c r="J31" s="173"/>
      <c r="K31" s="90"/>
      <c r="L31" s="90"/>
      <c r="M31" s="91"/>
      <c r="N31" s="90"/>
      <c r="O31" s="90"/>
      <c r="P31" s="90"/>
      <c r="Q31" s="91"/>
      <c r="R31" s="2"/>
      <c r="S31" s="17"/>
      <c r="T31" s="92"/>
      <c r="U31" s="92"/>
      <c r="V31" s="92"/>
      <c r="W31" s="92"/>
    </row>
    <row r="32" spans="1:23" ht="42.75" customHeight="1" thickTop="1" x14ac:dyDescent="0.25">
      <c r="A32" s="16"/>
      <c r="B32" s="2"/>
      <c r="C32" s="2" t="s">
        <v>21</v>
      </c>
      <c r="D32" s="2"/>
      <c r="E32" s="2"/>
      <c r="F32" s="2"/>
      <c r="G32" s="93"/>
      <c r="H32" s="93"/>
      <c r="I32" s="93"/>
      <c r="J32" s="2"/>
      <c r="K32" s="2" t="s">
        <v>22</v>
      </c>
      <c r="L32" s="2"/>
      <c r="M32" s="2"/>
      <c r="N32" s="2"/>
      <c r="O32" s="94"/>
      <c r="P32" s="94"/>
      <c r="Q32" s="94"/>
      <c r="R32" s="2"/>
      <c r="S32" s="17"/>
      <c r="T32" s="92"/>
      <c r="U32" s="92"/>
      <c r="V32" s="92"/>
      <c r="W32" s="92"/>
    </row>
    <row r="33" spans="1:19" ht="30" customHeight="1" x14ac:dyDescent="0.25">
      <c r="A33" s="16"/>
      <c r="B33" s="2"/>
      <c r="C33" s="2"/>
      <c r="D33" s="2"/>
      <c r="E33" s="2"/>
      <c r="F33" s="2"/>
      <c r="G33" s="27"/>
      <c r="H33" s="27"/>
      <c r="I33" s="27"/>
      <c r="J33" s="11" t="s">
        <v>23</v>
      </c>
      <c r="K33" s="2"/>
      <c r="L33" s="2"/>
      <c r="M33" s="2"/>
      <c r="N33" s="2"/>
      <c r="O33" s="2"/>
      <c r="P33" s="2"/>
      <c r="Q33" s="2"/>
      <c r="R33" s="2"/>
      <c r="S33" s="17"/>
    </row>
    <row r="34" spans="1:19" ht="30" customHeight="1" thickBot="1" x14ac:dyDescent="0.3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</sheetData>
  <mergeCells count="91">
    <mergeCell ref="N31:Q31"/>
    <mergeCell ref="T31:U31"/>
    <mergeCell ref="V31:W31"/>
    <mergeCell ref="G32:I32"/>
    <mergeCell ref="O32:Q32"/>
    <mergeCell ref="T32:U32"/>
    <mergeCell ref="V32:W32"/>
    <mergeCell ref="C31:I31"/>
    <mergeCell ref="J31:M31"/>
    <mergeCell ref="T28:U28"/>
    <mergeCell ref="V28:W28"/>
    <mergeCell ref="C29:I29"/>
    <mergeCell ref="J29:M29"/>
    <mergeCell ref="N29:Q29"/>
    <mergeCell ref="C30:I30"/>
    <mergeCell ref="J30:M30"/>
    <mergeCell ref="N30:Q30"/>
    <mergeCell ref="T30:U30"/>
    <mergeCell ref="V30:W30"/>
    <mergeCell ref="C25:I25"/>
    <mergeCell ref="J25:M25"/>
    <mergeCell ref="N25:Q25"/>
    <mergeCell ref="T25:W25"/>
    <mergeCell ref="C27:I27"/>
    <mergeCell ref="J27:M27"/>
    <mergeCell ref="N27:Q27"/>
    <mergeCell ref="T27:U27"/>
    <mergeCell ref="V27:W27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K14:R14"/>
    <mergeCell ref="G15:L15"/>
    <mergeCell ref="M15:O15"/>
    <mergeCell ref="P15:R15"/>
    <mergeCell ref="G11:M11"/>
    <mergeCell ref="N11:O11"/>
    <mergeCell ref="P11:R11"/>
    <mergeCell ref="T11:W11"/>
    <mergeCell ref="G12:L12"/>
    <mergeCell ref="N12:O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 verticalCentered="1"/>
  <pageMargins left="0.39370078740157483" right="0.39370078740157483" top="0.17708333333333334" bottom="0.43307086614173229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18</vt:i4>
      </vt:variant>
    </vt:vector>
  </HeadingPairs>
  <TitlesOfParts>
    <vt:vector size="37" baseType="lpstr">
      <vt:lpstr>NOMINA</vt:lpstr>
      <vt:lpstr>ANGEL GABRIEL</vt:lpstr>
      <vt:lpstr>ANTHONY GABRIEL</vt:lpstr>
      <vt:lpstr>LARA LUIS</vt:lpstr>
      <vt:lpstr>DIEGO ALEJANDRO</vt:lpstr>
      <vt:lpstr>NEYLIMAR NATHALIA</vt:lpstr>
      <vt:lpstr>CARLOS ADRIAN</vt:lpstr>
      <vt:lpstr>GENESIS SOFIA</vt:lpstr>
      <vt:lpstr>MARIA SALOME</vt:lpstr>
      <vt:lpstr>JORGE FERNANDO</vt:lpstr>
      <vt:lpstr>PIA SIMONE</vt:lpstr>
      <vt:lpstr>MATHIAS BENJAMIN</vt:lpstr>
      <vt:lpstr>ALNARDO ANTONIO</vt:lpstr>
      <vt:lpstr>GENESIA ALEJANDRA</vt:lpstr>
      <vt:lpstr>CHRISTIAN GUILLERMO</vt:lpstr>
      <vt:lpstr>MATHIAS ENRIQUE </vt:lpstr>
      <vt:lpstr>CARLA GABRIELA</vt:lpstr>
      <vt:lpstr>SOFIA DEL VALLE</vt:lpstr>
      <vt:lpstr>EMY LUNA</vt:lpstr>
      <vt:lpstr>'ALNARDO ANTONIO'!Área_de_impresión</vt:lpstr>
      <vt:lpstr>'ANGEL GABRIEL'!Área_de_impresión</vt:lpstr>
      <vt:lpstr>'ANTHONY GABRIEL'!Área_de_impresión</vt:lpstr>
      <vt:lpstr>'CARLA GABRIELA'!Área_de_impresión</vt:lpstr>
      <vt:lpstr>'CARLOS ADRIAN'!Área_de_impresión</vt:lpstr>
      <vt:lpstr>'CHRISTIAN GUILLERMO'!Área_de_impresión</vt:lpstr>
      <vt:lpstr>'DIEGO ALEJANDRO'!Área_de_impresión</vt:lpstr>
      <vt:lpstr>'EMY LUNA'!Área_de_impresión</vt:lpstr>
      <vt:lpstr>'GENESIA ALEJANDRA'!Área_de_impresión</vt:lpstr>
      <vt:lpstr>'GENESIS SOFIA'!Área_de_impresión</vt:lpstr>
      <vt:lpstr>'JORGE FERNANDO'!Área_de_impresión</vt:lpstr>
      <vt:lpstr>'LARA LUIS'!Área_de_impresión</vt:lpstr>
      <vt:lpstr>'MARIA SALOME'!Área_de_impresión</vt:lpstr>
      <vt:lpstr>'MATHIAS BENJAMIN'!Área_de_impresión</vt:lpstr>
      <vt:lpstr>'MATHIAS ENRIQUE '!Área_de_impresión</vt:lpstr>
      <vt:lpstr>'NEYLIMAR NATHALIA'!Área_de_impresión</vt:lpstr>
      <vt:lpstr>'PIA SIMONE'!Área_de_impresión</vt:lpstr>
      <vt:lpstr>'SOFIA DEL VALLE'!Área_de_impresión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CECILIO ACOSTA</cp:lastModifiedBy>
  <cp:lastPrinted>2025-12-10T16:15:18Z</cp:lastPrinted>
  <dcterms:created xsi:type="dcterms:W3CDTF">2023-11-22T13:07:37Z</dcterms:created>
  <dcterms:modified xsi:type="dcterms:W3CDTF">2025-12-10T16:28:33Z</dcterms:modified>
</cp:coreProperties>
</file>