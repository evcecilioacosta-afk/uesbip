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NOLO\Users\Public\MANOLO\DOCUMENTOS 2025-2026\PRIMER MOMENTO Boletines 2025-2026\5TO AÑO 2025-2026\"/>
    </mc:Choice>
  </mc:AlternateContent>
  <bookViews>
    <workbookView xWindow="120" yWindow="150" windowWidth="15240" windowHeight="7065" tabRatio="919" activeTab="6"/>
  </bookViews>
  <sheets>
    <sheet name="Hoja1" sheetId="24" r:id="rId1"/>
    <sheet name="AMAYA" sheetId="5" r:id="rId2"/>
    <sheet name="STEFANY" sheetId="6" r:id="rId3"/>
    <sheet name="EULIO" sheetId="1" r:id="rId4"/>
    <sheet name="CAMILA ITRIAGO" sheetId="4" r:id="rId5"/>
    <sheet name="AURA" sheetId="7" r:id="rId6"/>
    <sheet name="SANTIAGO G" sheetId="21" r:id="rId7"/>
    <sheet name="KAMILA L." sheetId="8" r:id="rId8"/>
    <sheet name="VERONICA" sheetId="9" r:id="rId9"/>
    <sheet name="RACHEL" sheetId="10" r:id="rId10"/>
    <sheet name="GABRIELA" sheetId="11" r:id="rId11"/>
    <sheet name="HECTOR " sheetId="12" r:id="rId12"/>
    <sheet name="21" sheetId="23" r:id="rId13"/>
  </sheets>
  <definedNames>
    <definedName name="_xlnm.Print_Area" localSheetId="12">'21'!$A$1:$S$36</definedName>
    <definedName name="_xlnm.Print_Area" localSheetId="1">AMAYA!$A$1:$S$36</definedName>
    <definedName name="_xlnm.Print_Area" localSheetId="5">AURA!$A$1:$S$36</definedName>
    <definedName name="_xlnm.Print_Area" localSheetId="4">'CAMILA ITRIAGO'!$A$1:$S$36</definedName>
    <definedName name="_xlnm.Print_Area" localSheetId="3">EULIO!$A$1:$S$36</definedName>
    <definedName name="_xlnm.Print_Area" localSheetId="10">GABRIELA!$A$1:$S$36</definedName>
    <definedName name="_xlnm.Print_Area" localSheetId="11">'HECTOR '!$A$1:$S$36</definedName>
    <definedName name="_xlnm.Print_Area" localSheetId="7">'KAMILA L.'!$A$1:$S$36</definedName>
    <definedName name="_xlnm.Print_Area" localSheetId="9">RACHEL!$A$1:$S$36</definedName>
    <definedName name="_xlnm.Print_Area" localSheetId="6">'SANTIAGO G'!$A$1:$S$36</definedName>
    <definedName name="_xlnm.Print_Area" localSheetId="2">STEFANY!$A$1:$S$36</definedName>
    <definedName name="_xlnm.Print_Area" localSheetId="8">VERONICA!$A$1:$S$36</definedName>
  </definedNames>
  <calcPr calcId="162913"/>
</workbook>
</file>

<file path=xl/calcChain.xml><?xml version="1.0" encoding="utf-8"?>
<calcChain xmlns="http://schemas.openxmlformats.org/spreadsheetml/2006/main">
  <c r="J29" i="6" l="1"/>
  <c r="J29" i="1"/>
  <c r="J29" i="4"/>
  <c r="J29" i="7"/>
  <c r="J29" i="21"/>
  <c r="J29" i="8"/>
  <c r="J29" i="9"/>
  <c r="J29" i="10"/>
  <c r="J29" i="11"/>
  <c r="J29" i="12"/>
  <c r="J29" i="5"/>
</calcChain>
</file>

<file path=xl/sharedStrings.xml><?xml version="1.0" encoding="utf-8"?>
<sst xmlns="http://schemas.openxmlformats.org/spreadsheetml/2006/main" count="588" uniqueCount="91">
  <si>
    <t>BOLETIN DE CALIFICACIONES</t>
  </si>
  <si>
    <t>U. E. P. CECILIO ACOSTA</t>
  </si>
  <si>
    <t>NOMBRES Y APELLIDOS:</t>
  </si>
  <si>
    <t>C.I.: V-</t>
  </si>
  <si>
    <t>LUGAR DE NACIMIENTO:</t>
  </si>
  <si>
    <t xml:space="preserve">FECHA DE NACIMIENTO: </t>
  </si>
  <si>
    <t>AÑO:</t>
  </si>
  <si>
    <t>SECCION:</t>
  </si>
  <si>
    <t>AÑO ESCOLAR:</t>
  </si>
  <si>
    <t>NOMBRE Y APELLIDO DEL REPRESENTANTE:</t>
  </si>
  <si>
    <t xml:space="preserve">PROFESOR ORIENTADOR: </t>
  </si>
  <si>
    <t>EDAD:</t>
  </si>
  <si>
    <t>ÁREAS DE FORMACIÓN</t>
  </si>
  <si>
    <t>CASTELLANO</t>
  </si>
  <si>
    <t>INGLÉS Y OTRAS LENGUAS E.</t>
  </si>
  <si>
    <t>MATEMÁTICA</t>
  </si>
  <si>
    <t>EDUCACIÓN FÍSICA</t>
  </si>
  <si>
    <t>FÍSICA</t>
  </si>
  <si>
    <t>QUÍMICA</t>
  </si>
  <si>
    <t>BIOLOGÍA</t>
  </si>
  <si>
    <t>GEOGRAFÍA, HISTORIA. Y CIUD.</t>
  </si>
  <si>
    <t>FORMACIÓN PARA LA SOBERANÍA NAC.</t>
  </si>
  <si>
    <t>PROMEDIO</t>
  </si>
  <si>
    <t>INFORME DE LA ACTUACIÓN DEL O LA ESTUDIANTE</t>
  </si>
  <si>
    <t>CALIFICACION 1ER MOMENTO</t>
  </si>
  <si>
    <t>INASISTENCIAS</t>
  </si>
  <si>
    <t>FIRMA DEL DIRECTOR</t>
  </si>
  <si>
    <t>FIRMA DEL EVALUADOR</t>
  </si>
  <si>
    <t>SELLO</t>
  </si>
  <si>
    <t>"B"</t>
  </si>
  <si>
    <t xml:space="preserve"> CALIFICACION</t>
  </si>
  <si>
    <t>ORIENTACION</t>
  </si>
  <si>
    <t>GRUPO DE CREACION, RECREACION Y PRODUCCION</t>
  </si>
  <si>
    <t>MATURIN</t>
  </si>
  <si>
    <t>YARGELYS CHONCHON</t>
  </si>
  <si>
    <t>REPUBLICA BOLIVARIANA DE VENEZUELA</t>
  </si>
  <si>
    <t xml:space="preserve">MINISTERIO DEL PODER POPULAR PARA LA EDUCACIÓN </t>
  </si>
  <si>
    <t>UNIDAD EDUCATIVA "CECILIO ACOSTA"</t>
  </si>
  <si>
    <t>DEPARTAMENTO DE EVALUACIÓN Y CONTROL DE ESTUDIO</t>
  </si>
  <si>
    <t>N°</t>
  </si>
  <si>
    <t>CÉDULA</t>
  </si>
  <si>
    <t>APELLIDOS Y NOMBRES</t>
  </si>
  <si>
    <t>PEREZ  MADERA LOREISMAR ARIANNA</t>
  </si>
  <si>
    <t>FREITES  FELASQUEZ FELIX ALEJANDRO</t>
  </si>
  <si>
    <t>GIL  CASTILLO JESUS ALEJANDRO</t>
  </si>
  <si>
    <t>TRIAS MARCANO SCARLYS ALEJANDRA</t>
  </si>
  <si>
    <t>LOPEZ CHONCHON CARLOS DANIEL</t>
  </si>
  <si>
    <t>MARQUEZ MATA LUIS ADRIAN</t>
  </si>
  <si>
    <t>CAMPOS  FERNANDEZ DAVID ELIASIB</t>
  </si>
  <si>
    <t>FERNANDEZ GUERRA SINAY DEL VALLE</t>
  </si>
  <si>
    <t>BRITO ANDUEZA CAMILA PAOLA</t>
  </si>
  <si>
    <t>CERMEÑO CASTRO EDUARDO ENRIQUE</t>
  </si>
  <si>
    <t>DIAZ RIVERO ISAAC SEBASTIAN</t>
  </si>
  <si>
    <t>RONDON  MUJICA JORGE LUIS</t>
  </si>
  <si>
    <t>RODRIGUEZ MONCAYO JISEL SINAINESMAR</t>
  </si>
  <si>
    <t>RODRIGUEZ GARCIA  ANGELYS SOFIA</t>
  </si>
  <si>
    <t>BASTARDO JIMENEZ SONIA VALENTINA</t>
  </si>
  <si>
    <t>RODRIGUEZ NOGUERA MARIANA GABRIELA</t>
  </si>
  <si>
    <t>LOOR  GONZALEZ DANIEHELA ALEJANDRA</t>
  </si>
  <si>
    <t>RENDÓN DÍAZ ANA VICTORIA</t>
  </si>
  <si>
    <t>SANCHEZ ESCALANTE PEDRO ANTONIO</t>
  </si>
  <si>
    <t>DE SOUZA DOMINGUEZ DANIELA ALEJANDRA</t>
  </si>
  <si>
    <t>5TO</t>
  </si>
  <si>
    <t>EUMILIS BERRA</t>
  </si>
  <si>
    <t>CIENCIA DE LA TIERRA</t>
  </si>
  <si>
    <t>2025-2026</t>
  </si>
  <si>
    <t>AMAYA LAIRE NIE PADRINO</t>
  </si>
  <si>
    <t>ANGELIMAR PADRINO</t>
  </si>
  <si>
    <t>FRANCIS SALAZAR</t>
  </si>
  <si>
    <t>STEFANY ROJAS DURAN</t>
  </si>
  <si>
    <t>LISBETH DURAN</t>
  </si>
  <si>
    <t>INDEPENDENCIA - MIRANDA</t>
  </si>
  <si>
    <t>EULIO SAMUEL BERMUDEZ LEON</t>
  </si>
  <si>
    <t>LIBERTADOR - MONAGAS</t>
  </si>
  <si>
    <t>ROAXIS LEON</t>
  </si>
  <si>
    <t>CAMILA VALENTINA ITRIAGO R.</t>
  </si>
  <si>
    <t>MARIBEL RODRIGUEZ</t>
  </si>
  <si>
    <t>AURA YSABELLA VELASQUEZ SULBARAN</t>
  </si>
  <si>
    <t>AURA SULBARAN</t>
  </si>
  <si>
    <t>SANTIAGO A. GUZMAN LISBOA</t>
  </si>
  <si>
    <t>MARIANNY LISBOA</t>
  </si>
  <si>
    <t>KAMILA SUSEJ LOPEZ CHONCHON</t>
  </si>
  <si>
    <t>VERONICA DEL VALLE GOMEZ ROJAS</t>
  </si>
  <si>
    <t>LEIDY ROJAS</t>
  </si>
  <si>
    <t>RACHEL SUSEJ RONDON GACRIA</t>
  </si>
  <si>
    <t>MILIY GARCIA</t>
  </si>
  <si>
    <t>GABRIELA ISABEL RENDON BRITO</t>
  </si>
  <si>
    <t>YUDITH BRITO</t>
  </si>
  <si>
    <t>HECTOR RAFAEL SUAREZ CALL</t>
  </si>
  <si>
    <t>MARIANGEL CALL</t>
  </si>
  <si>
    <t>TUCUPITA - DELTA AMACURO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</si>
</sst>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V\ 0"/>
  </numFmts>
  <fonts count="21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mbria"/>
      <family val="1"/>
    </font>
    <font>
      <b/>
      <i/>
      <sz val="12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14"/>
      <color theme="1"/>
      <name val="Stencil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FFC9"/>
        <bgColor indexed="64"/>
      </patternFill>
    </fill>
    <fill>
      <patternFill patternType="solid">
        <fgColor rgb="FFC9FFC9"/>
        <bgColor rgb="FFEFEFF0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thin">
        <color theme="3" tint="-0.249977111117893"/>
      </top>
      <bottom style="double">
        <color theme="3" tint="-0.249977111117893"/>
      </bottom>
      <diagonal/>
    </border>
    <border>
      <left/>
      <right/>
      <top style="thin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thin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/>
      <diagonal/>
    </border>
    <border>
      <left style="double">
        <color theme="3" tint="-0.249977111117893"/>
      </left>
      <right/>
      <top style="double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/>
      <right style="double">
        <color theme="3" tint="-0.249977111117893"/>
      </right>
      <top style="thin">
        <color theme="3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theme="3" tint="-0.249977111117893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62"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12" xfId="0" applyFont="1" applyBorder="1" applyAlignment="1"/>
    <xf numFmtId="0" fontId="3" fillId="0" borderId="0" xfId="0" applyFont="1" applyBorder="1" applyAlignment="1">
      <alignment horizontal="center" vertical="center" wrapText="1"/>
    </xf>
    <xf numFmtId="0" fontId="0" fillId="0" borderId="3" xfId="0" applyBorder="1" applyAlignment="1"/>
    <xf numFmtId="0" fontId="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3" fillId="0" borderId="0" xfId="0" applyFont="1" applyBorder="1"/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1" fillId="0" borderId="29" xfId="0" applyFont="1" applyBorder="1" applyAlignment="1"/>
    <xf numFmtId="0" fontId="11" fillId="0" borderId="29" xfId="0" applyFont="1" applyBorder="1"/>
    <xf numFmtId="0" fontId="12" fillId="0" borderId="29" xfId="0" applyFont="1" applyBorder="1"/>
    <xf numFmtId="0" fontId="11" fillId="0" borderId="28" xfId="0" applyFont="1" applyBorder="1"/>
    <xf numFmtId="0" fontId="12" fillId="0" borderId="29" xfId="0" applyFont="1" applyBorder="1" applyAlignment="1"/>
    <xf numFmtId="0" fontId="14" fillId="0" borderId="29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46" xfId="0" applyBorder="1"/>
    <xf numFmtId="0" fontId="0" fillId="0" borderId="0" xfId="0" applyBorder="1" applyAlignment="1">
      <alignment vertical="center"/>
    </xf>
    <xf numFmtId="0" fontId="12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2" fillId="6" borderId="5" xfId="0" applyFont="1" applyFill="1" applyBorder="1" applyAlignment="1">
      <alignment horizontal="left"/>
    </xf>
    <xf numFmtId="164" fontId="11" fillId="0" borderId="5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/>
    </xf>
    <xf numFmtId="0" fontId="19" fillId="6" borderId="48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49" xfId="0" applyFont="1" applyFill="1" applyBorder="1" applyAlignment="1">
      <alignment horizontal="center"/>
    </xf>
    <xf numFmtId="0" fontId="20" fillId="0" borderId="5" xfId="1" applyBorder="1" applyAlignment="1">
      <alignment horizontal="left"/>
    </xf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shrinkToFit="1"/>
    </xf>
    <xf numFmtId="0" fontId="6" fillId="0" borderId="0" xfId="0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 wrapText="1"/>
    </xf>
    <xf numFmtId="0" fontId="16" fillId="4" borderId="1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0" fontId="12" fillId="4" borderId="22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7" fillId="5" borderId="34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17" fillId="5" borderId="3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wrapText="1"/>
    </xf>
    <xf numFmtId="0" fontId="12" fillId="4" borderId="35" xfId="0" applyFont="1" applyFill="1" applyBorder="1" applyAlignment="1">
      <alignment horizontal="center" wrapText="1"/>
    </xf>
    <xf numFmtId="0" fontId="12" fillId="4" borderId="36" xfId="0" applyFont="1" applyFill="1" applyBorder="1" applyAlignment="1">
      <alignment horizontal="center" wrapText="1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0" xfId="0" applyBorder="1" applyAlignment="1">
      <alignment horizontal="center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shrinkToFit="1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 shrinkToFit="1"/>
    </xf>
    <xf numFmtId="0" fontId="18" fillId="0" borderId="4" xfId="0" applyFont="1" applyBorder="1" applyAlignment="1">
      <alignment horizontal="center"/>
    </xf>
    <xf numFmtId="14" fontId="18" fillId="0" borderId="4" xfId="0" applyNumberFormat="1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2" fontId="12" fillId="0" borderId="24" xfId="0" applyNumberFormat="1" applyFont="1" applyBorder="1" applyAlignment="1">
      <alignment horizontal="center"/>
    </xf>
    <xf numFmtId="2" fontId="12" fillId="0" borderId="13" xfId="0" applyNumberFormat="1" applyFont="1" applyBorder="1" applyAlignment="1">
      <alignment horizontal="center"/>
    </xf>
    <xf numFmtId="2" fontId="12" fillId="0" borderId="18" xfId="0" applyNumberFormat="1" applyFont="1" applyBorder="1" applyAlignment="1">
      <alignment horizontal="center"/>
    </xf>
    <xf numFmtId="0" fontId="12" fillId="7" borderId="13" xfId="0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11" fillId="0" borderId="33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DE5CCB"/>
      <color rgb="FFC9FFC9"/>
      <color rgb="FF9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140845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6" y="130492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121795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140845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209550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140845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140845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55120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83695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114300</xdr:rowOff>
    </xdr:from>
    <xdr:to>
      <xdr:col>10</xdr:col>
      <xdr:colOff>66675</xdr:colOff>
      <xdr:row>3</xdr:row>
      <xdr:rowOff>48491</xdr:rowOff>
    </xdr:to>
    <xdr:pic>
      <xdr:nvPicPr>
        <xdr:cNvPr id="2" name="1 Imagen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354" r="47786" b="37374"/>
        <a:stretch/>
      </xdr:blipFill>
      <xdr:spPr bwMode="auto">
        <a:xfrm>
          <a:off x="209550" y="114300"/>
          <a:ext cx="3286125" cy="50569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F26"/>
  <sheetViews>
    <sheetView topLeftCell="A5" workbookViewId="0">
      <selection activeCell="C12" sqref="C12:F12"/>
    </sheetView>
  </sheetViews>
  <sheetFormatPr baseColWidth="10" defaultRowHeight="15" x14ac:dyDescent="0.25"/>
  <cols>
    <col min="1" max="1" width="3.85546875" customWidth="1"/>
  </cols>
  <sheetData>
    <row r="1" spans="1:6" x14ac:dyDescent="0.25">
      <c r="A1" s="37" t="s">
        <v>35</v>
      </c>
      <c r="B1" s="37"/>
      <c r="C1" s="37"/>
      <c r="D1" s="37"/>
      <c r="E1" s="37"/>
      <c r="F1" s="37"/>
    </row>
    <row r="2" spans="1:6" x14ac:dyDescent="0.25">
      <c r="A2" s="37" t="s">
        <v>36</v>
      </c>
      <c r="B2" s="37"/>
      <c r="C2" s="37"/>
      <c r="D2" s="37"/>
      <c r="E2" s="37"/>
      <c r="F2" s="37"/>
    </row>
    <row r="3" spans="1:6" x14ac:dyDescent="0.25">
      <c r="A3" s="37" t="s">
        <v>37</v>
      </c>
      <c r="B3" s="37"/>
      <c r="C3" s="37"/>
      <c r="D3" s="37"/>
      <c r="E3" s="37"/>
      <c r="F3" s="37"/>
    </row>
    <row r="4" spans="1:6" x14ac:dyDescent="0.25">
      <c r="A4" s="37" t="s">
        <v>38</v>
      </c>
      <c r="B4" s="37"/>
      <c r="C4" s="37"/>
      <c r="D4" s="37"/>
      <c r="E4" s="37"/>
      <c r="F4" s="37"/>
    </row>
    <row r="5" spans="1:6" x14ac:dyDescent="0.25">
      <c r="A5" s="37"/>
      <c r="B5" s="37"/>
      <c r="C5" s="37"/>
      <c r="D5" s="37"/>
      <c r="E5" s="37"/>
      <c r="F5" s="37"/>
    </row>
    <row r="6" spans="1:6" x14ac:dyDescent="0.25">
      <c r="A6" s="39" t="s">
        <v>39</v>
      </c>
      <c r="B6" s="39" t="s">
        <v>40</v>
      </c>
      <c r="C6" s="43" t="s">
        <v>41</v>
      </c>
      <c r="D6" s="44"/>
      <c r="E6" s="44"/>
      <c r="F6" s="45"/>
    </row>
    <row r="7" spans="1:6" x14ac:dyDescent="0.25">
      <c r="A7" s="38">
        <v>1</v>
      </c>
      <c r="B7" s="40">
        <v>32523574</v>
      </c>
      <c r="C7" s="46" t="s">
        <v>42</v>
      </c>
      <c r="D7" s="46" t="s">
        <v>42</v>
      </c>
      <c r="E7" s="46" t="s">
        <v>42</v>
      </c>
      <c r="F7" s="46" t="s">
        <v>42</v>
      </c>
    </row>
    <row r="8" spans="1:6" x14ac:dyDescent="0.25">
      <c r="A8" s="38">
        <v>2</v>
      </c>
      <c r="B8" s="40">
        <v>32578502</v>
      </c>
      <c r="C8" s="46" t="s">
        <v>43</v>
      </c>
      <c r="D8" s="46" t="s">
        <v>43</v>
      </c>
      <c r="E8" s="46" t="s">
        <v>43</v>
      </c>
      <c r="F8" s="46" t="s">
        <v>43</v>
      </c>
    </row>
    <row r="9" spans="1:6" x14ac:dyDescent="0.25">
      <c r="A9" s="38">
        <v>3</v>
      </c>
      <c r="B9" s="40">
        <v>32622177</v>
      </c>
      <c r="C9" s="42" t="s">
        <v>44</v>
      </c>
      <c r="D9" s="42" t="s">
        <v>44</v>
      </c>
      <c r="E9" s="42" t="s">
        <v>44</v>
      </c>
      <c r="F9" s="42" t="s">
        <v>44</v>
      </c>
    </row>
    <row r="10" spans="1:6" x14ac:dyDescent="0.25">
      <c r="A10" s="38">
        <v>4</v>
      </c>
      <c r="B10" s="40">
        <v>32753596</v>
      </c>
      <c r="C10" s="42" t="s">
        <v>45</v>
      </c>
      <c r="D10" s="42" t="s">
        <v>45</v>
      </c>
      <c r="E10" s="42" t="s">
        <v>45</v>
      </c>
      <c r="F10" s="42" t="s">
        <v>45</v>
      </c>
    </row>
    <row r="11" spans="1:6" x14ac:dyDescent="0.25">
      <c r="A11" s="38">
        <v>5</v>
      </c>
      <c r="B11" s="40">
        <v>32841145</v>
      </c>
      <c r="C11" s="42" t="s">
        <v>46</v>
      </c>
      <c r="D11" s="42" t="s">
        <v>46</v>
      </c>
      <c r="E11" s="42" t="s">
        <v>46</v>
      </c>
      <c r="F11" s="42" t="s">
        <v>46</v>
      </c>
    </row>
    <row r="12" spans="1:6" x14ac:dyDescent="0.25">
      <c r="A12" s="38">
        <v>6</v>
      </c>
      <c r="B12" s="40">
        <v>32959736</v>
      </c>
      <c r="C12" s="42" t="s">
        <v>47</v>
      </c>
      <c r="D12" s="42" t="s">
        <v>47</v>
      </c>
      <c r="E12" s="42" t="s">
        <v>47</v>
      </c>
      <c r="F12" s="42" t="s">
        <v>47</v>
      </c>
    </row>
    <row r="13" spans="1:6" x14ac:dyDescent="0.25">
      <c r="A13" s="38">
        <v>7</v>
      </c>
      <c r="B13" s="40">
        <v>32974674</v>
      </c>
      <c r="C13" s="42" t="s">
        <v>48</v>
      </c>
      <c r="D13" s="42" t="s">
        <v>48</v>
      </c>
      <c r="E13" s="42" t="s">
        <v>48</v>
      </c>
      <c r="F13" s="42" t="s">
        <v>48</v>
      </c>
    </row>
    <row r="14" spans="1:6" x14ac:dyDescent="0.25">
      <c r="A14" s="38">
        <v>8</v>
      </c>
      <c r="B14" s="40">
        <v>32999873</v>
      </c>
      <c r="C14" s="42" t="s">
        <v>49</v>
      </c>
      <c r="D14" s="42" t="s">
        <v>49</v>
      </c>
      <c r="E14" s="42" t="s">
        <v>49</v>
      </c>
      <c r="F14" s="42" t="s">
        <v>49</v>
      </c>
    </row>
    <row r="15" spans="1:6" x14ac:dyDescent="0.25">
      <c r="A15" s="38">
        <v>9</v>
      </c>
      <c r="B15" s="40">
        <v>33013764</v>
      </c>
      <c r="C15" s="42" t="s">
        <v>50</v>
      </c>
      <c r="D15" s="42" t="s">
        <v>50</v>
      </c>
      <c r="E15" s="42" t="s">
        <v>50</v>
      </c>
      <c r="F15" s="42" t="s">
        <v>50</v>
      </c>
    </row>
    <row r="16" spans="1:6" x14ac:dyDescent="0.25">
      <c r="A16" s="38">
        <v>10</v>
      </c>
      <c r="B16" s="40">
        <v>33122287</v>
      </c>
      <c r="C16" s="42" t="s">
        <v>51</v>
      </c>
      <c r="D16" s="42" t="s">
        <v>51</v>
      </c>
      <c r="E16" s="42" t="s">
        <v>51</v>
      </c>
      <c r="F16" s="42" t="s">
        <v>51</v>
      </c>
    </row>
    <row r="17" spans="1:6" x14ac:dyDescent="0.25">
      <c r="A17" s="38">
        <v>11</v>
      </c>
      <c r="B17" s="40">
        <v>33166374</v>
      </c>
      <c r="C17" s="42" t="s">
        <v>52</v>
      </c>
      <c r="D17" s="42" t="s">
        <v>52</v>
      </c>
      <c r="E17" s="42" t="s">
        <v>52</v>
      </c>
      <c r="F17" s="42" t="s">
        <v>52</v>
      </c>
    </row>
    <row r="18" spans="1:6" x14ac:dyDescent="0.25">
      <c r="A18" s="38">
        <v>12</v>
      </c>
      <c r="B18" s="40">
        <v>33276018</v>
      </c>
      <c r="C18" s="42" t="s">
        <v>53</v>
      </c>
      <c r="D18" s="42" t="s">
        <v>53</v>
      </c>
      <c r="E18" s="42" t="s">
        <v>53</v>
      </c>
      <c r="F18" s="42" t="s">
        <v>53</v>
      </c>
    </row>
    <row r="19" spans="1:6" x14ac:dyDescent="0.25">
      <c r="A19" s="38">
        <v>13</v>
      </c>
      <c r="B19" s="40">
        <v>33276808</v>
      </c>
      <c r="C19" s="42" t="s">
        <v>54</v>
      </c>
      <c r="D19" s="42" t="s">
        <v>54</v>
      </c>
      <c r="E19" s="42" t="s">
        <v>54</v>
      </c>
      <c r="F19" s="42" t="s">
        <v>54</v>
      </c>
    </row>
    <row r="20" spans="1:6" x14ac:dyDescent="0.25">
      <c r="A20" s="38">
        <v>14</v>
      </c>
      <c r="B20" s="40">
        <v>33277233</v>
      </c>
      <c r="C20" s="42" t="s">
        <v>55</v>
      </c>
      <c r="D20" s="42" t="s">
        <v>55</v>
      </c>
      <c r="E20" s="42" t="s">
        <v>55</v>
      </c>
      <c r="F20" s="42" t="s">
        <v>55</v>
      </c>
    </row>
    <row r="21" spans="1:6" x14ac:dyDescent="0.25">
      <c r="A21" s="38">
        <v>15</v>
      </c>
      <c r="B21" s="40">
        <v>33277526</v>
      </c>
      <c r="C21" s="42" t="s">
        <v>56</v>
      </c>
      <c r="D21" s="42" t="s">
        <v>56</v>
      </c>
      <c r="E21" s="42" t="s">
        <v>56</v>
      </c>
      <c r="F21" s="42" t="s">
        <v>56</v>
      </c>
    </row>
    <row r="22" spans="1:6" x14ac:dyDescent="0.25">
      <c r="A22" s="38">
        <v>16</v>
      </c>
      <c r="B22" s="40">
        <v>33708441</v>
      </c>
      <c r="C22" s="42" t="s">
        <v>57</v>
      </c>
      <c r="D22" s="42" t="s">
        <v>57</v>
      </c>
      <c r="E22" s="42" t="s">
        <v>57</v>
      </c>
      <c r="F22" s="42" t="s">
        <v>57</v>
      </c>
    </row>
    <row r="23" spans="1:6" x14ac:dyDescent="0.25">
      <c r="A23" s="38">
        <v>17</v>
      </c>
      <c r="B23" s="40">
        <v>33835770</v>
      </c>
      <c r="C23" s="42" t="s">
        <v>58</v>
      </c>
      <c r="D23" s="42" t="s">
        <v>58</v>
      </c>
      <c r="E23" s="42" t="s">
        <v>58</v>
      </c>
      <c r="F23" s="42" t="s">
        <v>58</v>
      </c>
    </row>
    <row r="24" spans="1:6" x14ac:dyDescent="0.25">
      <c r="A24" s="38">
        <v>18</v>
      </c>
      <c r="B24" s="40">
        <v>33839336</v>
      </c>
      <c r="C24" s="42" t="s">
        <v>59</v>
      </c>
      <c r="D24" s="42" t="s">
        <v>59</v>
      </c>
      <c r="E24" s="42" t="s">
        <v>59</v>
      </c>
      <c r="F24" s="42" t="s">
        <v>59</v>
      </c>
    </row>
    <row r="25" spans="1:6" x14ac:dyDescent="0.25">
      <c r="A25" s="38">
        <v>19</v>
      </c>
      <c r="B25" s="40">
        <v>34099893</v>
      </c>
      <c r="C25" s="42" t="s">
        <v>60</v>
      </c>
      <c r="D25" s="42" t="s">
        <v>60</v>
      </c>
      <c r="E25" s="42" t="s">
        <v>60</v>
      </c>
      <c r="F25" s="42" t="s">
        <v>60</v>
      </c>
    </row>
    <row r="26" spans="1:6" x14ac:dyDescent="0.25">
      <c r="A26" s="38">
        <v>20</v>
      </c>
      <c r="B26" s="40">
        <v>34270225</v>
      </c>
      <c r="C26" s="42" t="s">
        <v>61</v>
      </c>
      <c r="D26" s="42" t="s">
        <v>61</v>
      </c>
      <c r="E26" s="42" t="s">
        <v>61</v>
      </c>
      <c r="F26" s="42" t="s">
        <v>61</v>
      </c>
    </row>
  </sheetData>
  <mergeCells count="21">
    <mergeCell ref="C6:F6"/>
    <mergeCell ref="C7:F7"/>
    <mergeCell ref="C8:F8"/>
    <mergeCell ref="C9:F9"/>
    <mergeCell ref="C10:F10"/>
    <mergeCell ref="C14:F14"/>
    <mergeCell ref="C13:F13"/>
    <mergeCell ref="C12:F12"/>
    <mergeCell ref="C11:F11"/>
    <mergeCell ref="C21:F21"/>
    <mergeCell ref="C15:F15"/>
    <mergeCell ref="C16:F16"/>
    <mergeCell ref="C17:F17"/>
    <mergeCell ref="C18:F18"/>
    <mergeCell ref="C19:F19"/>
    <mergeCell ref="C20:F20"/>
    <mergeCell ref="C22:F22"/>
    <mergeCell ref="C23:F23"/>
    <mergeCell ref="C24:F24"/>
    <mergeCell ref="C25:F25"/>
    <mergeCell ref="C26:F26"/>
  </mergeCells>
  <hyperlinks>
    <hyperlink ref="C7:F7" location="PEREZ!Área_de_impresión" display="PEREZ  MADERA LOREISMAR ARIANNA"/>
    <hyperlink ref="C8:F8" location="FREITES!Área_de_impresión" display="FREITES  FELASQUEZ FELIX ALEJANDR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14" zoomScaleNormal="100" workbookViewId="0">
      <selection activeCell="C12" sqref="C12:F12"/>
    </sheetView>
  </sheetViews>
  <sheetFormatPr baseColWidth="10" defaultRowHeight="15" x14ac:dyDescent="0.25"/>
  <cols>
    <col min="1" max="5" width="4.85546875" style="1" customWidth="1"/>
    <col min="6" max="6" width="5.85546875" style="1" customWidth="1"/>
    <col min="7" max="12" width="4.85546875" style="1" customWidth="1"/>
    <col min="13" max="13" width="6" style="1" customWidth="1"/>
    <col min="14" max="14" width="4.5703125" style="1" customWidth="1"/>
    <col min="15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57" t="s">
        <v>66</v>
      </c>
      <c r="H11" s="57"/>
      <c r="I11" s="57"/>
      <c r="J11" s="57"/>
      <c r="K11" s="57"/>
      <c r="L11" s="57"/>
      <c r="M11" s="3"/>
      <c r="N11" s="3" t="s">
        <v>3</v>
      </c>
      <c r="O11" s="3"/>
      <c r="P11" s="56">
        <v>33122097</v>
      </c>
      <c r="Q11" s="56"/>
      <c r="R11" s="56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59" t="s">
        <v>33</v>
      </c>
      <c r="H12" s="60"/>
      <c r="I12" s="60"/>
      <c r="J12" s="60"/>
      <c r="K12" s="60"/>
      <c r="L12" s="60"/>
      <c r="M12" s="3"/>
      <c r="N12" s="3" t="s">
        <v>11</v>
      </c>
      <c r="O12" s="3"/>
      <c r="P12" s="60">
        <v>16</v>
      </c>
      <c r="Q12" s="60"/>
      <c r="R12" s="60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59">
        <v>40061</v>
      </c>
      <c r="H13" s="60"/>
      <c r="I13" s="60"/>
      <c r="J13" s="60"/>
      <c r="K13" s="60"/>
      <c r="L13" s="60"/>
      <c r="M13" s="3" t="s">
        <v>6</v>
      </c>
      <c r="N13" s="61" t="s">
        <v>62</v>
      </c>
      <c r="O13" s="61"/>
      <c r="P13" s="6" t="s">
        <v>7</v>
      </c>
      <c r="Q13" s="6"/>
      <c r="R13" s="35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56" t="s">
        <v>67</v>
      </c>
      <c r="L14" s="56"/>
      <c r="M14" s="56"/>
      <c r="N14" s="56"/>
      <c r="O14" s="56"/>
      <c r="P14" s="56"/>
      <c r="Q14" s="56"/>
      <c r="R14" s="56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56" t="s">
        <v>68</v>
      </c>
      <c r="H15" s="56"/>
      <c r="I15" s="56"/>
      <c r="J15" s="56"/>
      <c r="K15" s="56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12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82">
        <v>18</v>
      </c>
      <c r="K20" s="56"/>
      <c r="L20" s="56"/>
      <c r="M20" s="83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82">
        <v>12</v>
      </c>
      <c r="K21" s="56"/>
      <c r="L21" s="56"/>
      <c r="M21" s="83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82">
        <v>18</v>
      </c>
      <c r="K22" s="56"/>
      <c r="L22" s="56"/>
      <c r="M22" s="83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82">
        <v>14</v>
      </c>
      <c r="K23" s="56"/>
      <c r="L23" s="56"/>
      <c r="M23" s="83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82">
        <v>16</v>
      </c>
      <c r="K24" s="56"/>
      <c r="L24" s="56"/>
      <c r="M24" s="83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82">
        <v>15</v>
      </c>
      <c r="K25" s="56"/>
      <c r="L25" s="56"/>
      <c r="M25" s="83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82">
        <v>11</v>
      </c>
      <c r="K26" s="56"/>
      <c r="L26" s="56"/>
      <c r="M26" s="83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82">
        <v>17</v>
      </c>
      <c r="K27" s="56"/>
      <c r="L27" s="56"/>
      <c r="M27" s="83"/>
      <c r="N27" s="92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82">
        <v>17</v>
      </c>
      <c r="K28" s="56"/>
      <c r="L28" s="56"/>
      <c r="M28" s="83"/>
      <c r="N28" s="92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97">
        <f>AVERAGE(J19:M28)</f>
        <v>15</v>
      </c>
      <c r="K29" s="98"/>
      <c r="L29" s="98"/>
      <c r="M29" s="99"/>
      <c r="N29" s="97"/>
      <c r="O29" s="98"/>
      <c r="P29" s="98"/>
      <c r="Q29" s="99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4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82">
        <v>16</v>
      </c>
      <c r="K32" s="56"/>
      <c r="L32" s="56"/>
      <c r="M32" s="83"/>
      <c r="N32" s="105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82">
        <v>16</v>
      </c>
      <c r="K33" s="56"/>
      <c r="L33" s="56"/>
      <c r="M33" s="83"/>
      <c r="N33" s="117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21"/>
      <c r="P34" s="121"/>
      <c r="Q34" s="121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11" zoomScaleNormal="100" workbookViewId="0">
      <selection activeCell="C12" sqref="C12:F12"/>
    </sheetView>
  </sheetViews>
  <sheetFormatPr baseColWidth="10" defaultRowHeight="15" x14ac:dyDescent="0.25"/>
  <cols>
    <col min="1" max="5" width="4.85546875" style="1" customWidth="1"/>
    <col min="6" max="6" width="5.7109375" style="1" customWidth="1"/>
    <col min="7" max="13" width="4.85546875" style="1" customWidth="1"/>
    <col min="14" max="14" width="5.85546875" style="1" customWidth="1"/>
    <col min="15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69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33274888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8" t="s">
        <v>71</v>
      </c>
      <c r="H12" s="128"/>
      <c r="I12" s="128"/>
      <c r="J12" s="128"/>
      <c r="K12" s="128"/>
      <c r="L12" s="128"/>
      <c r="M12" s="3"/>
      <c r="N12" s="3" t="s">
        <v>11</v>
      </c>
      <c r="O12" s="3"/>
      <c r="P12" s="129">
        <v>16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39972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70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16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20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19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18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17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18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17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16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17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18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17.600000000000001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19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>
        <v>15</v>
      </c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G15:K15"/>
    <mergeCell ref="M15:O15"/>
    <mergeCell ref="P15:R15"/>
    <mergeCell ref="K14:R14"/>
    <mergeCell ref="G11:L11"/>
    <mergeCell ref="P11:R11"/>
    <mergeCell ref="T11:W11"/>
    <mergeCell ref="G12:L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51"/>
  <sheetViews>
    <sheetView view="pageLayout" topLeftCell="A8" zoomScaleNormal="100" workbookViewId="0">
      <selection activeCell="C12" sqref="C12:F12"/>
    </sheetView>
  </sheetViews>
  <sheetFormatPr baseColWidth="10" defaultRowHeight="15" x14ac:dyDescent="0.25"/>
  <cols>
    <col min="1" max="5" width="4.85546875" customWidth="1"/>
    <col min="6" max="6" width="6" customWidth="1"/>
    <col min="7" max="8" width="4.85546875" customWidth="1"/>
    <col min="9" max="9" width="4.85546875" style="1" customWidth="1"/>
    <col min="10" max="16" width="4.85546875" customWidth="1"/>
    <col min="17" max="17" width="4.85546875" style="1" customWidth="1"/>
    <col min="18" max="19" width="4.85546875" customWidth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72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33579469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73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15</v>
      </c>
      <c r="Q12" s="129"/>
      <c r="R12" s="129"/>
      <c r="S12" s="25"/>
      <c r="T12" s="55"/>
      <c r="U12" s="55"/>
      <c r="V12" s="55"/>
      <c r="W12" s="55"/>
    </row>
    <row r="13" spans="1:23" s="1" customFormat="1" ht="21" customHeight="1" x14ac:dyDescent="0.25">
      <c r="A13" s="22"/>
      <c r="B13" s="4" t="s">
        <v>5</v>
      </c>
      <c r="C13" s="3"/>
      <c r="D13" s="5"/>
      <c r="E13" s="5"/>
      <c r="F13" s="5"/>
      <c r="G13" s="130">
        <v>40183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7"/>
      <c r="U13" s="7"/>
      <c r="V13" s="7"/>
      <c r="W13" s="7"/>
    </row>
    <row r="14" spans="1:23" s="1" customFormat="1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74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4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13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18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14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20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16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15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16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s="1" customFormat="1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12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13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17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15.4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s="1" customFormat="1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3"/>
      <c r="U31" s="13"/>
      <c r="V31" s="13"/>
      <c r="W31" s="13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18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s="1" customFormat="1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>
        <v>20</v>
      </c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s="1" customFormat="1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K14:R14"/>
    <mergeCell ref="C26:I26"/>
    <mergeCell ref="J26:M26"/>
    <mergeCell ref="N26:Q26"/>
    <mergeCell ref="N13:O13"/>
    <mergeCell ref="N19:Q19"/>
    <mergeCell ref="N20:Q20"/>
    <mergeCell ref="N21:Q21"/>
    <mergeCell ref="N22:Q22"/>
    <mergeCell ref="N23:Q23"/>
    <mergeCell ref="J25:M25"/>
    <mergeCell ref="P15:R15"/>
    <mergeCell ref="G13:L13"/>
    <mergeCell ref="G15:K15"/>
    <mergeCell ref="N29:Q29"/>
    <mergeCell ref="C17:I18"/>
    <mergeCell ref="C19:I19"/>
    <mergeCell ref="C20:I20"/>
    <mergeCell ref="C21:I21"/>
    <mergeCell ref="C23:I23"/>
    <mergeCell ref="C22:I22"/>
    <mergeCell ref="C29:I29"/>
    <mergeCell ref="C24:I24"/>
    <mergeCell ref="C25:I25"/>
    <mergeCell ref="C27:I27"/>
    <mergeCell ref="C28:I28"/>
    <mergeCell ref="N24:Q24"/>
    <mergeCell ref="N25:Q25"/>
    <mergeCell ref="N27:Q27"/>
    <mergeCell ref="N28:Q28"/>
    <mergeCell ref="J27:M27"/>
    <mergeCell ref="J28:M28"/>
    <mergeCell ref="J29:M29"/>
    <mergeCell ref="J20:M20"/>
    <mergeCell ref="J21:M21"/>
    <mergeCell ref="J22:M22"/>
    <mergeCell ref="J23:M23"/>
    <mergeCell ref="J24:M24"/>
    <mergeCell ref="A5:S5"/>
    <mergeCell ref="A6:S6"/>
    <mergeCell ref="G11:L11"/>
    <mergeCell ref="P11:R11"/>
    <mergeCell ref="T29:U29"/>
    <mergeCell ref="T22:U22"/>
    <mergeCell ref="T16:U16"/>
    <mergeCell ref="G16:H16"/>
    <mergeCell ref="T27:W27"/>
    <mergeCell ref="T28:U28"/>
    <mergeCell ref="V28:W28"/>
    <mergeCell ref="T25:W25"/>
    <mergeCell ref="T20:U20"/>
    <mergeCell ref="V20:W20"/>
    <mergeCell ref="T21:U21"/>
    <mergeCell ref="V29:W29"/>
    <mergeCell ref="T30:U30"/>
    <mergeCell ref="V30:W30"/>
    <mergeCell ref="T32:U32"/>
    <mergeCell ref="V32:W32"/>
    <mergeCell ref="V22:W22"/>
    <mergeCell ref="T23:U23"/>
    <mergeCell ref="V23:W23"/>
    <mergeCell ref="T24:U24"/>
    <mergeCell ref="V24:W24"/>
    <mergeCell ref="V12:W12"/>
    <mergeCell ref="G12:L12"/>
    <mergeCell ref="P12:R12"/>
    <mergeCell ref="T7:W7"/>
    <mergeCell ref="T8:W8"/>
    <mergeCell ref="T9:T10"/>
    <mergeCell ref="U9:V10"/>
    <mergeCell ref="T11:W11"/>
    <mergeCell ref="T12:U12"/>
    <mergeCell ref="V21:W21"/>
    <mergeCell ref="T19:U19"/>
    <mergeCell ref="V19:W19"/>
    <mergeCell ref="M15:O15"/>
    <mergeCell ref="J19:M19"/>
    <mergeCell ref="V16:W16"/>
    <mergeCell ref="V17:W17"/>
    <mergeCell ref="T18:U18"/>
    <mergeCell ref="V18:W18"/>
    <mergeCell ref="J17:Q17"/>
    <mergeCell ref="J18:M18"/>
    <mergeCell ref="N18:Q18"/>
    <mergeCell ref="C32:I32"/>
    <mergeCell ref="J32:M32"/>
    <mergeCell ref="N32:Q32"/>
    <mergeCell ref="C31:I31"/>
    <mergeCell ref="J31:M31"/>
    <mergeCell ref="N31:Q31"/>
    <mergeCell ref="T34:U34"/>
    <mergeCell ref="V34:W34"/>
    <mergeCell ref="C33:I33"/>
    <mergeCell ref="J33:M33"/>
    <mergeCell ref="N33:Q33"/>
    <mergeCell ref="G34:I34"/>
    <mergeCell ref="O34:Q34"/>
    <mergeCell ref="T33:U33"/>
    <mergeCell ref="V33:W33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11" zoomScaleNormal="100" workbookViewId="0">
      <selection activeCell="T14" sqref="T14"/>
    </sheetView>
  </sheetViews>
  <sheetFormatPr baseColWidth="10" defaultRowHeight="15" x14ac:dyDescent="0.25"/>
  <cols>
    <col min="1" max="5" width="4.85546875" style="1" customWidth="1"/>
    <col min="6" max="6" width="5.7109375" style="1" customWidth="1"/>
    <col min="7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75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33680240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33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15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40011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76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16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19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13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20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14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18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19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17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16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19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17.100000000000001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20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>
        <v>20</v>
      </c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10" zoomScaleNormal="100" workbookViewId="0">
      <selection activeCell="J33" sqref="J33:M33"/>
    </sheetView>
  </sheetViews>
  <sheetFormatPr baseColWidth="10" defaultRowHeight="15" x14ac:dyDescent="0.25"/>
  <cols>
    <col min="1" max="5" width="4.85546875" style="1" customWidth="1"/>
    <col min="6" max="6" width="5.7109375" style="1" customWidth="1"/>
    <col min="7" max="9" width="4.85546875" style="1" customWidth="1"/>
    <col min="10" max="10" width="4.140625" style="1" customWidth="1"/>
    <col min="11" max="12" width="4.85546875" style="1" customWidth="1"/>
    <col min="13" max="13" width="6.140625" style="1" customWidth="1"/>
    <col min="14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77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33680360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33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16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40058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78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12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18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19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18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19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17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18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16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15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17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16.899999999999999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17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>
        <v>17</v>
      </c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51"/>
  <sheetViews>
    <sheetView tabSelected="1" view="pageLayout" topLeftCell="A11" zoomScaleNormal="100" workbookViewId="0">
      <selection activeCell="G11" sqref="G11:L1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79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32959736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33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16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40030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80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141">
        <v>16</v>
      </c>
      <c r="K19" s="142"/>
      <c r="L19" s="142"/>
      <c r="M19" s="143"/>
      <c r="N19" s="142"/>
      <c r="O19" s="142"/>
      <c r="P19" s="142"/>
      <c r="Q19" s="14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138">
        <v>20</v>
      </c>
      <c r="K20" s="139"/>
      <c r="L20" s="139"/>
      <c r="M20" s="140"/>
      <c r="N20" s="139"/>
      <c r="O20" s="139"/>
      <c r="P20" s="139"/>
      <c r="Q20" s="140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138">
        <v>18</v>
      </c>
      <c r="K21" s="139"/>
      <c r="L21" s="139"/>
      <c r="M21" s="140"/>
      <c r="N21" s="139"/>
      <c r="O21" s="139"/>
      <c r="P21" s="139"/>
      <c r="Q21" s="140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138">
        <v>18</v>
      </c>
      <c r="K22" s="139"/>
      <c r="L22" s="139"/>
      <c r="M22" s="140"/>
      <c r="N22" s="139"/>
      <c r="O22" s="139"/>
      <c r="P22" s="139"/>
      <c r="Q22" s="140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138">
        <v>20</v>
      </c>
      <c r="K23" s="139"/>
      <c r="L23" s="139"/>
      <c r="M23" s="140"/>
      <c r="N23" s="139"/>
      <c r="O23" s="139"/>
      <c r="P23" s="139"/>
      <c r="Q23" s="140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138">
        <v>16</v>
      </c>
      <c r="K24" s="139"/>
      <c r="L24" s="139"/>
      <c r="M24" s="140"/>
      <c r="N24" s="139"/>
      <c r="O24" s="139"/>
      <c r="P24" s="139"/>
      <c r="Q24" s="140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138">
        <v>18</v>
      </c>
      <c r="K25" s="139"/>
      <c r="L25" s="139"/>
      <c r="M25" s="140"/>
      <c r="N25" s="139"/>
      <c r="O25" s="139"/>
      <c r="P25" s="139"/>
      <c r="Q25" s="140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138">
        <v>17</v>
      </c>
      <c r="K26" s="139"/>
      <c r="L26" s="139"/>
      <c r="M26" s="140"/>
      <c r="N26" s="138"/>
      <c r="O26" s="139"/>
      <c r="P26" s="139"/>
      <c r="Q26" s="140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138">
        <v>16</v>
      </c>
      <c r="K27" s="139"/>
      <c r="L27" s="139"/>
      <c r="M27" s="140"/>
      <c r="N27" s="139"/>
      <c r="O27" s="139"/>
      <c r="P27" s="139"/>
      <c r="Q27" s="140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138">
        <v>19</v>
      </c>
      <c r="K28" s="139"/>
      <c r="L28" s="139"/>
      <c r="M28" s="140"/>
      <c r="N28" s="139"/>
      <c r="O28" s="139"/>
      <c r="P28" s="139"/>
      <c r="Q28" s="140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44">
        <f>AVERAGE(J19:M28)</f>
        <v>17.8</v>
      </c>
      <c r="K29" s="145"/>
      <c r="L29" s="145"/>
      <c r="M29" s="146"/>
      <c r="N29" s="147"/>
      <c r="O29" s="147"/>
      <c r="P29" s="147"/>
      <c r="Q29" s="148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34"/>
      <c r="K30" s="34"/>
      <c r="L30" s="34"/>
      <c r="M30" s="34"/>
      <c r="N30" s="34"/>
      <c r="O30" s="34"/>
      <c r="P30" s="34"/>
      <c r="Q30" s="34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52" t="s">
        <v>30</v>
      </c>
      <c r="K31" s="153"/>
      <c r="L31" s="153"/>
      <c r="M31" s="154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49">
        <v>17</v>
      </c>
      <c r="K32" s="150"/>
      <c r="L32" s="150"/>
      <c r="M32" s="151"/>
      <c r="N32" s="150"/>
      <c r="O32" s="150"/>
      <c r="P32" s="150"/>
      <c r="Q32" s="151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57">
        <v>20</v>
      </c>
      <c r="K33" s="155"/>
      <c r="L33" s="155"/>
      <c r="M33" s="156"/>
      <c r="N33" s="155"/>
      <c r="O33" s="155"/>
      <c r="P33" s="155"/>
      <c r="Q33" s="156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8" zoomScaleNormal="100" workbookViewId="0">
      <selection activeCell="J33" sqref="J33:M33"/>
    </sheetView>
  </sheetViews>
  <sheetFormatPr baseColWidth="10" defaultRowHeight="15" x14ac:dyDescent="0.25"/>
  <cols>
    <col min="1" max="5" width="4.85546875" style="1" customWidth="1"/>
    <col min="6" max="6" width="5.7109375" style="1" customWidth="1"/>
    <col min="7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81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33833641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33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15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40132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34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141">
        <v>11</v>
      </c>
      <c r="K19" s="142"/>
      <c r="L19" s="142"/>
      <c r="M19" s="143"/>
      <c r="N19" s="142"/>
      <c r="O19" s="142"/>
      <c r="P19" s="142"/>
      <c r="Q19" s="14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138">
        <v>17</v>
      </c>
      <c r="K20" s="139"/>
      <c r="L20" s="139"/>
      <c r="M20" s="140"/>
      <c r="N20" s="139"/>
      <c r="O20" s="139"/>
      <c r="P20" s="139"/>
      <c r="Q20" s="140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138">
        <v>8</v>
      </c>
      <c r="K21" s="139"/>
      <c r="L21" s="139"/>
      <c r="M21" s="140"/>
      <c r="N21" s="139"/>
      <c r="O21" s="139"/>
      <c r="P21" s="139"/>
      <c r="Q21" s="140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138">
        <v>18</v>
      </c>
      <c r="K22" s="139"/>
      <c r="L22" s="139"/>
      <c r="M22" s="140"/>
      <c r="N22" s="139"/>
      <c r="O22" s="139"/>
      <c r="P22" s="139"/>
      <c r="Q22" s="140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138">
        <v>13</v>
      </c>
      <c r="K23" s="139"/>
      <c r="L23" s="139"/>
      <c r="M23" s="140"/>
      <c r="N23" s="139"/>
      <c r="O23" s="139"/>
      <c r="P23" s="139"/>
      <c r="Q23" s="140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138">
        <v>14</v>
      </c>
      <c r="K24" s="139"/>
      <c r="L24" s="139"/>
      <c r="M24" s="140"/>
      <c r="N24" s="139"/>
      <c r="O24" s="139"/>
      <c r="P24" s="139"/>
      <c r="Q24" s="140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138">
        <v>18</v>
      </c>
      <c r="K25" s="139"/>
      <c r="L25" s="139"/>
      <c r="M25" s="140"/>
      <c r="N25" s="139"/>
      <c r="O25" s="139"/>
      <c r="P25" s="139"/>
      <c r="Q25" s="140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138">
        <v>12</v>
      </c>
      <c r="K26" s="139"/>
      <c r="L26" s="139"/>
      <c r="M26" s="140"/>
      <c r="N26" s="138"/>
      <c r="O26" s="139"/>
      <c r="P26" s="139"/>
      <c r="Q26" s="140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138">
        <v>13</v>
      </c>
      <c r="K27" s="139"/>
      <c r="L27" s="139"/>
      <c r="M27" s="140"/>
      <c r="N27" s="139"/>
      <c r="O27" s="139"/>
      <c r="P27" s="139"/>
      <c r="Q27" s="140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138">
        <v>13</v>
      </c>
      <c r="K28" s="139"/>
      <c r="L28" s="139"/>
      <c r="M28" s="140"/>
      <c r="N28" s="139"/>
      <c r="O28" s="139"/>
      <c r="P28" s="139"/>
      <c r="Q28" s="140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44">
        <f>AVERAGE(J19:M28)</f>
        <v>13.7</v>
      </c>
      <c r="K29" s="145"/>
      <c r="L29" s="145"/>
      <c r="M29" s="146"/>
      <c r="N29" s="147"/>
      <c r="O29" s="147"/>
      <c r="P29" s="147"/>
      <c r="Q29" s="148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34"/>
      <c r="K30" s="34"/>
      <c r="L30" s="34"/>
      <c r="M30" s="34"/>
      <c r="N30" s="34"/>
      <c r="O30" s="34"/>
      <c r="P30" s="34"/>
      <c r="Q30" s="34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52" t="s">
        <v>30</v>
      </c>
      <c r="K31" s="153"/>
      <c r="L31" s="153"/>
      <c r="M31" s="154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49">
        <v>19</v>
      </c>
      <c r="K32" s="150"/>
      <c r="L32" s="150"/>
      <c r="M32" s="151"/>
      <c r="N32" s="150"/>
      <c r="O32" s="150"/>
      <c r="P32" s="150"/>
      <c r="Q32" s="151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57">
        <v>13</v>
      </c>
      <c r="K33" s="155"/>
      <c r="L33" s="155"/>
      <c r="M33" s="156"/>
      <c r="N33" s="155"/>
      <c r="O33" s="155"/>
      <c r="P33" s="155"/>
      <c r="Q33" s="156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11" zoomScaleNormal="100" workbookViewId="0">
      <selection activeCell="J33" sqref="J33:M33"/>
    </sheetView>
  </sheetViews>
  <sheetFormatPr baseColWidth="10" defaultRowHeight="15" x14ac:dyDescent="0.25"/>
  <cols>
    <col min="1" max="5" width="4.85546875" style="1" customWidth="1"/>
    <col min="6" max="6" width="5.85546875" style="1" customWidth="1"/>
    <col min="7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82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34100194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33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16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39843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83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7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18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8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17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13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11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17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11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11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11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12.4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16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>
        <v>14</v>
      </c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11" zoomScaleNormal="100" workbookViewId="0">
      <selection activeCell="C12" sqref="C12:F12"/>
    </sheetView>
  </sheetViews>
  <sheetFormatPr baseColWidth="10" defaultRowHeight="15" x14ac:dyDescent="0.25"/>
  <cols>
    <col min="1" max="5" width="4.85546875" style="1" customWidth="1"/>
    <col min="6" max="6" width="7" style="1" customWidth="1"/>
    <col min="7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84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34101475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33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16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39880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85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17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18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16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20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16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18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20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19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19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19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18.2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19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/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5CCB"/>
  </sheetPr>
  <dimension ref="A1:W51"/>
  <sheetViews>
    <sheetView view="pageLayout" topLeftCell="A13" zoomScaleNormal="100" workbookViewId="0">
      <selection activeCell="C12" sqref="C12:F1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86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34269566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9" t="s">
        <v>33</v>
      </c>
      <c r="H12" s="129"/>
      <c r="I12" s="129"/>
      <c r="J12" s="129"/>
      <c r="K12" s="129"/>
      <c r="L12" s="129"/>
      <c r="M12" s="3"/>
      <c r="N12" s="3" t="s">
        <v>11</v>
      </c>
      <c r="O12" s="3"/>
      <c r="P12" s="129">
        <v>16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40175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87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17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19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17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18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17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17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18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16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17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18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17.399999999999999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17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>
        <v>17</v>
      </c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51"/>
  <sheetViews>
    <sheetView view="pageLayout" topLeftCell="A19" zoomScaleNormal="100" workbookViewId="0">
      <selection activeCell="J33" sqref="J33:M33"/>
    </sheetView>
  </sheetViews>
  <sheetFormatPr baseColWidth="10" defaultRowHeight="15" x14ac:dyDescent="0.25"/>
  <cols>
    <col min="1" max="5" width="4.85546875" style="1" customWidth="1"/>
    <col min="6" max="6" width="6.5703125" style="1" customWidth="1"/>
    <col min="7" max="12" width="4.85546875" style="1" customWidth="1"/>
    <col min="13" max="13" width="6" style="1" customWidth="1"/>
    <col min="14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26" t="s">
        <v>88</v>
      </c>
      <c r="H11" s="126"/>
      <c r="I11" s="126"/>
      <c r="J11" s="126"/>
      <c r="K11" s="126"/>
      <c r="L11" s="126"/>
      <c r="M11" s="3"/>
      <c r="N11" s="3" t="s">
        <v>3</v>
      </c>
      <c r="O11" s="3"/>
      <c r="P11" s="127">
        <v>35046766</v>
      </c>
      <c r="Q11" s="127"/>
      <c r="R11" s="127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28" t="s">
        <v>90</v>
      </c>
      <c r="H12" s="128"/>
      <c r="I12" s="128"/>
      <c r="J12" s="128"/>
      <c r="K12" s="128"/>
      <c r="L12" s="128"/>
      <c r="M12" s="3"/>
      <c r="N12" s="3" t="s">
        <v>11</v>
      </c>
      <c r="O12" s="3"/>
      <c r="P12" s="129">
        <v>16</v>
      </c>
      <c r="Q12" s="129"/>
      <c r="R12" s="12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30">
        <v>40161</v>
      </c>
      <c r="H13" s="129"/>
      <c r="I13" s="129"/>
      <c r="J13" s="129"/>
      <c r="K13" s="129"/>
      <c r="L13" s="129"/>
      <c r="M13" s="3" t="s">
        <v>6</v>
      </c>
      <c r="N13" s="131" t="s">
        <v>62</v>
      </c>
      <c r="O13" s="131"/>
      <c r="P13" s="6" t="s">
        <v>7</v>
      </c>
      <c r="Q13" s="6"/>
      <c r="R13" s="36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27" t="s">
        <v>89</v>
      </c>
      <c r="L14" s="127"/>
      <c r="M14" s="127"/>
      <c r="N14" s="127"/>
      <c r="O14" s="127"/>
      <c r="P14" s="127"/>
      <c r="Q14" s="127"/>
      <c r="R14" s="127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27" t="s">
        <v>68</v>
      </c>
      <c r="H15" s="127"/>
      <c r="I15" s="127"/>
      <c r="J15" s="127"/>
      <c r="K15" s="127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>
        <v>11</v>
      </c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>
        <v>18</v>
      </c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>
        <v>12</v>
      </c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>
        <v>19</v>
      </c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>
        <v>8</v>
      </c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>
        <v>15</v>
      </c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>
        <v>14</v>
      </c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>
        <v>13</v>
      </c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>
        <v>14</v>
      </c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>
        <v>19</v>
      </c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132">
        <f>AVERAGE(J19:M28)</f>
        <v>14.3</v>
      </c>
      <c r="K29" s="133"/>
      <c r="L29" s="133"/>
      <c r="M29" s="134"/>
      <c r="N29" s="135"/>
      <c r="O29" s="135"/>
      <c r="P29" s="135"/>
      <c r="Q29" s="136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>
        <v>17</v>
      </c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>
        <v>17</v>
      </c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view="pageLayout" topLeftCell="A6" zoomScaleNormal="100" workbookViewId="0">
      <selection activeCell="V28" sqref="V28:W28"/>
    </sheetView>
  </sheetViews>
  <sheetFormatPr baseColWidth="10" defaultRowHeight="15" x14ac:dyDescent="0.25"/>
  <cols>
    <col min="1" max="19" width="4.85546875" style="1" customWidth="1"/>
    <col min="20" max="16384" width="11.42578125" style="1"/>
  </cols>
  <sheetData>
    <row r="1" spans="1:23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3"/>
    </row>
    <row r="3" spans="1:23" x14ac:dyDescent="0.25">
      <c r="A3" s="2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3"/>
    </row>
    <row r="4" spans="1:23" ht="7.5" customHeight="1" x14ac:dyDescent="0.25">
      <c r="A4" s="2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3"/>
    </row>
    <row r="5" spans="1:23" ht="20.25" customHeight="1" x14ac:dyDescent="0.25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</row>
    <row r="6" spans="1:23" ht="18.75" customHeight="1" x14ac:dyDescent="0.25">
      <c r="A6" s="50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  <c r="T6" s="2"/>
      <c r="U6" s="2"/>
      <c r="V6" s="2"/>
      <c r="W6" s="2"/>
    </row>
    <row r="7" spans="1:23" ht="15.75" customHeight="1" x14ac:dyDescent="0.25">
      <c r="A7" s="2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3"/>
      <c r="T7" s="53"/>
      <c r="U7" s="53"/>
      <c r="V7" s="53"/>
      <c r="W7" s="53"/>
    </row>
    <row r="8" spans="1:23" ht="31.5" customHeight="1" x14ac:dyDescent="0.25">
      <c r="A8" s="2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3"/>
      <c r="T8" s="54"/>
      <c r="U8" s="54"/>
      <c r="V8" s="54"/>
      <c r="W8" s="54"/>
    </row>
    <row r="9" spans="1:23" ht="18" customHeight="1" x14ac:dyDescent="0.25">
      <c r="A9" s="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3"/>
      <c r="T9" s="55"/>
      <c r="U9" s="55"/>
      <c r="V9" s="55"/>
      <c r="W9" s="17"/>
    </row>
    <row r="10" spans="1:23" ht="3.75" customHeight="1" x14ac:dyDescent="0.25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3"/>
      <c r="T10" s="55"/>
      <c r="U10" s="55"/>
      <c r="V10" s="55"/>
      <c r="W10" s="9"/>
    </row>
    <row r="11" spans="1:23" ht="21" customHeight="1" x14ac:dyDescent="0.25">
      <c r="A11" s="22"/>
      <c r="B11" s="3" t="s">
        <v>2</v>
      </c>
      <c r="C11" s="3"/>
      <c r="D11" s="3"/>
      <c r="E11" s="3"/>
      <c r="F11" s="3"/>
      <c r="G11" s="158"/>
      <c r="H11" s="158"/>
      <c r="I11" s="158"/>
      <c r="J11" s="158"/>
      <c r="K11" s="158"/>
      <c r="L11" s="158"/>
      <c r="M11" s="3"/>
      <c r="N11" s="3" t="s">
        <v>3</v>
      </c>
      <c r="O11" s="3"/>
      <c r="P11" s="158"/>
      <c r="Q11" s="158"/>
      <c r="R11" s="158"/>
      <c r="S11" s="24"/>
      <c r="T11" s="58"/>
      <c r="U11" s="58"/>
      <c r="V11" s="58"/>
      <c r="W11" s="58"/>
    </row>
    <row r="12" spans="1:23" ht="21" customHeight="1" x14ac:dyDescent="0.25">
      <c r="A12" s="22"/>
      <c r="B12" s="3" t="s">
        <v>4</v>
      </c>
      <c r="C12" s="3"/>
      <c r="D12" s="3"/>
      <c r="E12" s="3"/>
      <c r="F12" s="3"/>
      <c r="G12" s="159"/>
      <c r="H12" s="159"/>
      <c r="I12" s="159"/>
      <c r="J12" s="159"/>
      <c r="K12" s="159"/>
      <c r="L12" s="159"/>
      <c r="M12" s="3"/>
      <c r="N12" s="3" t="s">
        <v>11</v>
      </c>
      <c r="O12" s="3"/>
      <c r="P12" s="159"/>
      <c r="Q12" s="159"/>
      <c r="R12" s="159"/>
      <c r="S12" s="25"/>
      <c r="T12" s="55"/>
      <c r="U12" s="55"/>
      <c r="V12" s="55"/>
      <c r="W12" s="55"/>
    </row>
    <row r="13" spans="1:23" ht="21" customHeight="1" x14ac:dyDescent="0.25">
      <c r="A13" s="22"/>
      <c r="B13" s="4" t="s">
        <v>5</v>
      </c>
      <c r="C13" s="3"/>
      <c r="D13" s="5"/>
      <c r="E13" s="5"/>
      <c r="F13" s="5"/>
      <c r="G13" s="160"/>
      <c r="H13" s="159"/>
      <c r="I13" s="159"/>
      <c r="J13" s="159"/>
      <c r="K13" s="159"/>
      <c r="L13" s="159"/>
      <c r="M13" s="3" t="s">
        <v>6</v>
      </c>
      <c r="N13" s="161" t="s">
        <v>62</v>
      </c>
      <c r="O13" s="161"/>
      <c r="P13" s="6" t="s">
        <v>7</v>
      </c>
      <c r="Q13" s="6"/>
      <c r="R13" s="18" t="s">
        <v>29</v>
      </c>
      <c r="S13" s="24"/>
      <c r="T13" s="17"/>
      <c r="U13" s="17"/>
      <c r="V13" s="17"/>
      <c r="W13" s="17"/>
    </row>
    <row r="14" spans="1:23" ht="21" customHeight="1" x14ac:dyDescent="0.25">
      <c r="A14" s="2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8"/>
      <c r="L14" s="158"/>
      <c r="M14" s="158"/>
      <c r="N14" s="158"/>
      <c r="O14" s="158"/>
      <c r="P14" s="158"/>
      <c r="Q14" s="158"/>
      <c r="R14" s="158"/>
      <c r="S14" s="26"/>
    </row>
    <row r="15" spans="1:23" ht="21" customHeight="1" x14ac:dyDescent="0.25">
      <c r="A15" s="22"/>
      <c r="B15" s="4" t="s">
        <v>10</v>
      </c>
      <c r="C15" s="4"/>
      <c r="D15" s="4"/>
      <c r="E15" s="4"/>
      <c r="F15" s="4"/>
      <c r="G15" s="158" t="s">
        <v>63</v>
      </c>
      <c r="H15" s="158"/>
      <c r="I15" s="158"/>
      <c r="J15" s="158"/>
      <c r="K15" s="158"/>
      <c r="L15" s="8"/>
      <c r="M15" s="62" t="s">
        <v>8</v>
      </c>
      <c r="N15" s="62"/>
      <c r="O15" s="62"/>
      <c r="P15" s="56" t="s">
        <v>65</v>
      </c>
      <c r="Q15" s="56"/>
      <c r="R15" s="56"/>
      <c r="S15" s="26"/>
    </row>
    <row r="16" spans="1:23" ht="13.5" customHeight="1" thickBot="1" x14ac:dyDescent="0.3">
      <c r="A16" s="27"/>
      <c r="B16" s="4"/>
      <c r="C16" s="4"/>
      <c r="D16" s="4"/>
      <c r="E16" s="4"/>
      <c r="F16" s="4"/>
      <c r="G16" s="63"/>
      <c r="H16" s="63"/>
      <c r="I16" s="16"/>
      <c r="J16" s="4"/>
      <c r="K16" s="4"/>
      <c r="L16" s="4"/>
      <c r="M16" s="5"/>
      <c r="N16" s="5"/>
      <c r="O16" s="5"/>
      <c r="P16" s="5"/>
      <c r="Q16" s="5"/>
      <c r="R16" s="5"/>
      <c r="S16" s="28"/>
      <c r="T16" s="64"/>
      <c r="U16" s="64"/>
      <c r="V16" s="58"/>
      <c r="W16" s="58"/>
    </row>
    <row r="17" spans="1:23" ht="31.5" customHeight="1" thickTop="1" thickBot="1" x14ac:dyDescent="0.3">
      <c r="A17" s="27"/>
      <c r="B17" s="3"/>
      <c r="C17" s="65" t="s">
        <v>12</v>
      </c>
      <c r="D17" s="66"/>
      <c r="E17" s="66"/>
      <c r="F17" s="66"/>
      <c r="G17" s="66"/>
      <c r="H17" s="66"/>
      <c r="I17" s="67"/>
      <c r="J17" s="71" t="s">
        <v>23</v>
      </c>
      <c r="K17" s="72"/>
      <c r="L17" s="72"/>
      <c r="M17" s="72"/>
      <c r="N17" s="72"/>
      <c r="O17" s="72"/>
      <c r="P17" s="72"/>
      <c r="Q17" s="73"/>
      <c r="R17" s="10"/>
      <c r="S17" s="29"/>
      <c r="T17" s="11"/>
      <c r="U17" s="11"/>
      <c r="V17" s="58"/>
      <c r="W17" s="58"/>
    </row>
    <row r="18" spans="1:23" ht="31.5" customHeight="1" thickTop="1" thickBot="1" x14ac:dyDescent="0.3">
      <c r="A18" s="27"/>
      <c r="B18" s="3"/>
      <c r="C18" s="68"/>
      <c r="D18" s="69"/>
      <c r="E18" s="69"/>
      <c r="F18" s="69"/>
      <c r="G18" s="69"/>
      <c r="H18" s="69"/>
      <c r="I18" s="70"/>
      <c r="J18" s="74" t="s">
        <v>24</v>
      </c>
      <c r="K18" s="75"/>
      <c r="L18" s="75"/>
      <c r="M18" s="76"/>
      <c r="N18" s="77" t="s">
        <v>25</v>
      </c>
      <c r="O18" s="77"/>
      <c r="P18" s="77"/>
      <c r="Q18" s="78"/>
      <c r="R18" s="5"/>
      <c r="S18" s="28"/>
      <c r="T18" s="64"/>
      <c r="U18" s="64"/>
      <c r="V18" s="58"/>
      <c r="W18" s="58"/>
    </row>
    <row r="19" spans="1:23" ht="18.75" customHeight="1" thickTop="1" x14ac:dyDescent="0.25">
      <c r="A19" s="22"/>
      <c r="B19" s="2"/>
      <c r="C19" s="85" t="s">
        <v>13</v>
      </c>
      <c r="D19" s="86"/>
      <c r="E19" s="86"/>
      <c r="F19" s="86"/>
      <c r="G19" s="86"/>
      <c r="H19" s="86"/>
      <c r="I19" s="87"/>
      <c r="J19" s="82"/>
      <c r="K19" s="56"/>
      <c r="L19" s="56"/>
      <c r="M19" s="83"/>
      <c r="N19" s="56"/>
      <c r="O19" s="56"/>
      <c r="P19" s="56"/>
      <c r="Q19" s="83"/>
      <c r="R19" s="2"/>
      <c r="S19" s="23"/>
      <c r="T19" s="64"/>
      <c r="U19" s="64"/>
      <c r="V19" s="58"/>
      <c r="W19" s="58"/>
    </row>
    <row r="20" spans="1:23" ht="18.75" customHeight="1" x14ac:dyDescent="0.25">
      <c r="A20" s="22"/>
      <c r="B20" s="2"/>
      <c r="C20" s="79" t="s">
        <v>14</v>
      </c>
      <c r="D20" s="80"/>
      <c r="E20" s="80"/>
      <c r="F20" s="80"/>
      <c r="G20" s="80"/>
      <c r="H20" s="80"/>
      <c r="I20" s="81"/>
      <c r="J20" s="92"/>
      <c r="K20" s="60"/>
      <c r="L20" s="60"/>
      <c r="M20" s="84"/>
      <c r="N20" s="60"/>
      <c r="O20" s="60"/>
      <c r="P20" s="60"/>
      <c r="Q20" s="84"/>
      <c r="R20" s="2"/>
      <c r="S20" s="23"/>
      <c r="T20" s="64"/>
      <c r="U20" s="64"/>
      <c r="V20" s="58"/>
      <c r="W20" s="58"/>
    </row>
    <row r="21" spans="1:23" ht="18.75" customHeight="1" x14ac:dyDescent="0.25">
      <c r="A21" s="22"/>
      <c r="B21" s="2"/>
      <c r="C21" s="79" t="s">
        <v>15</v>
      </c>
      <c r="D21" s="80"/>
      <c r="E21" s="80"/>
      <c r="F21" s="80"/>
      <c r="G21" s="80"/>
      <c r="H21" s="80"/>
      <c r="I21" s="81"/>
      <c r="J21" s="92"/>
      <c r="K21" s="60"/>
      <c r="L21" s="60"/>
      <c r="M21" s="84"/>
      <c r="N21" s="60"/>
      <c r="O21" s="60"/>
      <c r="P21" s="60"/>
      <c r="Q21" s="84"/>
      <c r="R21" s="2"/>
      <c r="S21" s="23"/>
      <c r="T21" s="64"/>
      <c r="U21" s="64"/>
      <c r="V21" s="58"/>
      <c r="W21" s="58"/>
    </row>
    <row r="22" spans="1:23" ht="18.75" customHeight="1" x14ac:dyDescent="0.25">
      <c r="A22" s="22"/>
      <c r="B22" s="2"/>
      <c r="C22" s="79" t="s">
        <v>16</v>
      </c>
      <c r="D22" s="80"/>
      <c r="E22" s="80"/>
      <c r="F22" s="80"/>
      <c r="G22" s="80"/>
      <c r="H22" s="80"/>
      <c r="I22" s="81"/>
      <c r="J22" s="92"/>
      <c r="K22" s="60"/>
      <c r="L22" s="60"/>
      <c r="M22" s="84"/>
      <c r="N22" s="60"/>
      <c r="O22" s="60"/>
      <c r="P22" s="60"/>
      <c r="Q22" s="84"/>
      <c r="R22" s="2"/>
      <c r="S22" s="23"/>
      <c r="T22" s="64"/>
      <c r="U22" s="64"/>
      <c r="V22" s="58"/>
      <c r="W22" s="58"/>
    </row>
    <row r="23" spans="1:23" ht="18.75" customHeight="1" x14ac:dyDescent="0.25">
      <c r="A23" s="22"/>
      <c r="B23" s="2"/>
      <c r="C23" s="79" t="s">
        <v>17</v>
      </c>
      <c r="D23" s="80"/>
      <c r="E23" s="80"/>
      <c r="F23" s="80"/>
      <c r="G23" s="80"/>
      <c r="H23" s="80"/>
      <c r="I23" s="81"/>
      <c r="J23" s="92"/>
      <c r="K23" s="60"/>
      <c r="L23" s="60"/>
      <c r="M23" s="84"/>
      <c r="N23" s="60"/>
      <c r="O23" s="60"/>
      <c r="P23" s="60"/>
      <c r="Q23" s="84"/>
      <c r="R23" s="2"/>
      <c r="S23" s="23"/>
      <c r="T23" s="64"/>
      <c r="U23" s="64"/>
      <c r="V23" s="58"/>
      <c r="W23" s="58"/>
    </row>
    <row r="24" spans="1:23" ht="18.75" customHeight="1" x14ac:dyDescent="0.25">
      <c r="A24" s="22"/>
      <c r="B24" s="2"/>
      <c r="C24" s="79" t="s">
        <v>18</v>
      </c>
      <c r="D24" s="80"/>
      <c r="E24" s="80"/>
      <c r="F24" s="80"/>
      <c r="G24" s="80"/>
      <c r="H24" s="80"/>
      <c r="I24" s="81"/>
      <c r="J24" s="92"/>
      <c r="K24" s="60"/>
      <c r="L24" s="60"/>
      <c r="M24" s="84"/>
      <c r="N24" s="60"/>
      <c r="O24" s="60"/>
      <c r="P24" s="60"/>
      <c r="Q24" s="84"/>
      <c r="R24" s="2"/>
      <c r="S24" s="23"/>
      <c r="T24" s="88"/>
      <c r="U24" s="88"/>
      <c r="V24" s="58"/>
      <c r="W24" s="58"/>
    </row>
    <row r="25" spans="1:23" ht="18.75" customHeight="1" x14ac:dyDescent="0.25">
      <c r="A25" s="22"/>
      <c r="B25" s="2"/>
      <c r="C25" s="89" t="s">
        <v>19</v>
      </c>
      <c r="D25" s="90"/>
      <c r="E25" s="90"/>
      <c r="F25" s="90"/>
      <c r="G25" s="90"/>
      <c r="H25" s="90"/>
      <c r="I25" s="91"/>
      <c r="J25" s="92"/>
      <c r="K25" s="60"/>
      <c r="L25" s="60"/>
      <c r="M25" s="84"/>
      <c r="N25" s="60"/>
      <c r="O25" s="60"/>
      <c r="P25" s="60"/>
      <c r="Q25" s="84"/>
      <c r="R25" s="2"/>
      <c r="S25" s="23"/>
      <c r="T25" s="58"/>
      <c r="U25" s="58"/>
      <c r="V25" s="58"/>
      <c r="W25" s="58"/>
    </row>
    <row r="26" spans="1:23" ht="18.75" customHeight="1" x14ac:dyDescent="0.25">
      <c r="A26" s="22"/>
      <c r="B26" s="2"/>
      <c r="C26" s="89" t="s">
        <v>64</v>
      </c>
      <c r="D26" s="90"/>
      <c r="E26" s="90"/>
      <c r="F26" s="90"/>
      <c r="G26" s="90"/>
      <c r="H26" s="90"/>
      <c r="I26" s="91"/>
      <c r="J26" s="92"/>
      <c r="K26" s="60"/>
      <c r="L26" s="60"/>
      <c r="M26" s="84"/>
      <c r="N26" s="92"/>
      <c r="O26" s="60"/>
      <c r="P26" s="60"/>
      <c r="Q26" s="84"/>
      <c r="R26" s="2"/>
      <c r="S26" s="23"/>
      <c r="T26" s="41"/>
      <c r="U26" s="41"/>
      <c r="V26" s="41"/>
      <c r="W26" s="41"/>
    </row>
    <row r="27" spans="1:23" ht="18.75" customHeight="1" x14ac:dyDescent="0.25">
      <c r="A27" s="22"/>
      <c r="B27" s="2"/>
      <c r="C27" s="89" t="s">
        <v>20</v>
      </c>
      <c r="D27" s="90"/>
      <c r="E27" s="90"/>
      <c r="F27" s="90"/>
      <c r="G27" s="90"/>
      <c r="H27" s="90"/>
      <c r="I27" s="91"/>
      <c r="J27" s="92"/>
      <c r="K27" s="60"/>
      <c r="L27" s="60"/>
      <c r="M27" s="84"/>
      <c r="N27" s="60"/>
      <c r="O27" s="60"/>
      <c r="P27" s="60"/>
      <c r="Q27" s="84"/>
      <c r="R27" s="2"/>
      <c r="S27" s="23"/>
      <c r="T27" s="93"/>
      <c r="U27" s="93"/>
      <c r="V27" s="93"/>
      <c r="W27" s="93"/>
    </row>
    <row r="28" spans="1:23" ht="18.75" customHeight="1" x14ac:dyDescent="0.25">
      <c r="A28" s="22"/>
      <c r="B28" s="2"/>
      <c r="C28" s="89" t="s">
        <v>21</v>
      </c>
      <c r="D28" s="90"/>
      <c r="E28" s="90"/>
      <c r="F28" s="90"/>
      <c r="G28" s="90"/>
      <c r="H28" s="90"/>
      <c r="I28" s="91"/>
      <c r="J28" s="92"/>
      <c r="K28" s="60"/>
      <c r="L28" s="60"/>
      <c r="M28" s="84"/>
      <c r="N28" s="60"/>
      <c r="O28" s="60"/>
      <c r="P28" s="60"/>
      <c r="Q28" s="84"/>
      <c r="R28" s="2"/>
      <c r="S28" s="23"/>
      <c r="T28" s="101"/>
      <c r="U28" s="101"/>
      <c r="V28" s="101"/>
      <c r="W28" s="101"/>
    </row>
    <row r="29" spans="1:23" ht="18.75" customHeight="1" thickBot="1" x14ac:dyDescent="0.3">
      <c r="A29" s="22"/>
      <c r="B29" s="2"/>
      <c r="C29" s="94" t="s">
        <v>22</v>
      </c>
      <c r="D29" s="95"/>
      <c r="E29" s="95"/>
      <c r="F29" s="95"/>
      <c r="G29" s="95"/>
      <c r="H29" s="95"/>
      <c r="I29" s="96"/>
      <c r="J29" s="97"/>
      <c r="K29" s="98"/>
      <c r="L29" s="98"/>
      <c r="M29" s="99"/>
      <c r="N29" s="98"/>
      <c r="O29" s="98"/>
      <c r="P29" s="98"/>
      <c r="Q29" s="99"/>
      <c r="R29" s="2"/>
      <c r="S29" s="23"/>
      <c r="T29" s="100"/>
      <c r="U29" s="100"/>
      <c r="V29" s="100"/>
      <c r="W29" s="100"/>
    </row>
    <row r="30" spans="1:23" ht="6" customHeight="1" thickTop="1" thickBot="1" x14ac:dyDescent="0.3">
      <c r="A30" s="2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3"/>
      <c r="T30" s="100"/>
      <c r="U30" s="100"/>
      <c r="V30" s="100"/>
      <c r="W30" s="100"/>
    </row>
    <row r="31" spans="1:23" ht="23.25" customHeight="1" thickTop="1" thickBot="1" x14ac:dyDescent="0.3">
      <c r="A31" s="22"/>
      <c r="B31" s="2"/>
      <c r="C31" s="108" t="s">
        <v>12</v>
      </c>
      <c r="D31" s="109"/>
      <c r="E31" s="109"/>
      <c r="F31" s="109"/>
      <c r="G31" s="109"/>
      <c r="H31" s="109"/>
      <c r="I31" s="110"/>
      <c r="J31" s="111" t="s">
        <v>30</v>
      </c>
      <c r="K31" s="112"/>
      <c r="L31" s="112"/>
      <c r="M31" s="113"/>
      <c r="N31" s="115" t="s">
        <v>25</v>
      </c>
      <c r="O31" s="115"/>
      <c r="P31" s="115"/>
      <c r="Q31" s="116"/>
      <c r="R31" s="2"/>
      <c r="S31" s="23"/>
      <c r="T31" s="15"/>
      <c r="U31" s="15"/>
      <c r="V31" s="15"/>
      <c r="W31" s="15"/>
    </row>
    <row r="32" spans="1:23" ht="23.25" customHeight="1" thickTop="1" x14ac:dyDescent="0.25">
      <c r="A32" s="22"/>
      <c r="B32" s="2"/>
      <c r="C32" s="102" t="s">
        <v>31</v>
      </c>
      <c r="D32" s="103"/>
      <c r="E32" s="103"/>
      <c r="F32" s="103"/>
      <c r="G32" s="103"/>
      <c r="H32" s="103"/>
      <c r="I32" s="104"/>
      <c r="J32" s="105"/>
      <c r="K32" s="106"/>
      <c r="L32" s="106"/>
      <c r="M32" s="107"/>
      <c r="N32" s="106"/>
      <c r="O32" s="106"/>
      <c r="P32" s="106"/>
      <c r="Q32" s="107"/>
      <c r="R32" s="2"/>
      <c r="S32" s="23"/>
      <c r="T32" s="100"/>
      <c r="U32" s="100"/>
      <c r="V32" s="100"/>
      <c r="W32" s="100"/>
    </row>
    <row r="33" spans="1:23" ht="23.25" customHeight="1" thickBot="1" x14ac:dyDescent="0.3">
      <c r="A33" s="22"/>
      <c r="B33" s="2"/>
      <c r="C33" s="122" t="s">
        <v>32</v>
      </c>
      <c r="D33" s="123"/>
      <c r="E33" s="123"/>
      <c r="F33" s="123"/>
      <c r="G33" s="124"/>
      <c r="H33" s="124"/>
      <c r="I33" s="125"/>
      <c r="J33" s="117"/>
      <c r="K33" s="118"/>
      <c r="L33" s="118"/>
      <c r="M33" s="119"/>
      <c r="N33" s="118"/>
      <c r="O33" s="118"/>
      <c r="P33" s="118"/>
      <c r="Q33" s="119"/>
      <c r="R33" s="2"/>
      <c r="S33" s="23"/>
      <c r="T33" s="100"/>
      <c r="U33" s="100"/>
      <c r="V33" s="100"/>
      <c r="W33" s="100"/>
    </row>
    <row r="34" spans="1:23" ht="23.25" customHeight="1" thickTop="1" x14ac:dyDescent="0.25">
      <c r="A34" s="22"/>
      <c r="B34" s="2"/>
      <c r="C34" s="2" t="s">
        <v>26</v>
      </c>
      <c r="D34" s="2"/>
      <c r="E34" s="2"/>
      <c r="F34" s="2"/>
      <c r="G34" s="120"/>
      <c r="H34" s="120"/>
      <c r="I34" s="120"/>
      <c r="J34" s="2"/>
      <c r="K34" s="2" t="s">
        <v>27</v>
      </c>
      <c r="L34" s="2"/>
      <c r="M34" s="2"/>
      <c r="N34" s="2"/>
      <c r="O34" s="137"/>
      <c r="P34" s="137"/>
      <c r="Q34" s="137"/>
      <c r="R34" s="2"/>
      <c r="S34" s="23"/>
      <c r="T34" s="100"/>
      <c r="U34" s="100"/>
      <c r="V34" s="100"/>
      <c r="W34" s="100"/>
    </row>
    <row r="35" spans="1:23" ht="30" customHeight="1" x14ac:dyDescent="0.25">
      <c r="A35" s="22"/>
      <c r="B35" s="2"/>
      <c r="C35" s="2"/>
      <c r="D35" s="2"/>
      <c r="E35" s="2"/>
      <c r="F35" s="2"/>
      <c r="G35" s="33"/>
      <c r="H35" s="33"/>
      <c r="I35" s="33"/>
      <c r="J35" s="12" t="s">
        <v>28</v>
      </c>
      <c r="K35" s="2"/>
      <c r="L35" s="2"/>
      <c r="M35" s="2"/>
      <c r="N35" s="2"/>
      <c r="O35" s="2"/>
      <c r="P35" s="2"/>
      <c r="Q35" s="2"/>
      <c r="R35" s="2"/>
      <c r="S35" s="23"/>
    </row>
    <row r="36" spans="1:23" ht="30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2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N33:Q33"/>
    <mergeCell ref="T33:U33"/>
    <mergeCell ref="V33:W33"/>
    <mergeCell ref="G34:I34"/>
    <mergeCell ref="O34:Q34"/>
    <mergeCell ref="T34:U34"/>
    <mergeCell ref="V34:W34"/>
    <mergeCell ref="C33:I33"/>
    <mergeCell ref="J33:M33"/>
    <mergeCell ref="T30:U30"/>
    <mergeCell ref="V30:W30"/>
    <mergeCell ref="C31:I31"/>
    <mergeCell ref="J31:M31"/>
    <mergeCell ref="N31:Q31"/>
    <mergeCell ref="C32:I32"/>
    <mergeCell ref="J32:M32"/>
    <mergeCell ref="N32:Q32"/>
    <mergeCell ref="T32:U32"/>
    <mergeCell ref="V32:W32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7:I27"/>
    <mergeCell ref="J27:M27"/>
    <mergeCell ref="N27:Q27"/>
    <mergeCell ref="T27:W27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A5:S5"/>
    <mergeCell ref="A6:S6"/>
    <mergeCell ref="T7:W7"/>
    <mergeCell ref="T8:W8"/>
    <mergeCell ref="T9:T10"/>
    <mergeCell ref="U9:V10"/>
  </mergeCells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Hoja1</vt:lpstr>
      <vt:lpstr>AMAYA</vt:lpstr>
      <vt:lpstr>STEFANY</vt:lpstr>
      <vt:lpstr>EULIO</vt:lpstr>
      <vt:lpstr>CAMILA ITRIAGO</vt:lpstr>
      <vt:lpstr>AURA</vt:lpstr>
      <vt:lpstr>SANTIAGO G</vt:lpstr>
      <vt:lpstr>KAMILA L.</vt:lpstr>
      <vt:lpstr>VERONICA</vt:lpstr>
      <vt:lpstr>RACHEL</vt:lpstr>
      <vt:lpstr>GABRIELA</vt:lpstr>
      <vt:lpstr>HECTOR </vt:lpstr>
      <vt:lpstr>21</vt:lpstr>
      <vt:lpstr>'21'!Área_de_impresión</vt:lpstr>
      <vt:lpstr>AMAYA!Área_de_impresión</vt:lpstr>
      <vt:lpstr>AURA!Área_de_impresión</vt:lpstr>
      <vt:lpstr>'CAMILA ITRIAGO'!Área_de_impresión</vt:lpstr>
      <vt:lpstr>EULIO!Área_de_impresión</vt:lpstr>
      <vt:lpstr>GABRIELA!Área_de_impresión</vt:lpstr>
      <vt:lpstr>'HECTOR '!Área_de_impresión</vt:lpstr>
      <vt:lpstr>'KAMILA L.'!Área_de_impresión</vt:lpstr>
      <vt:lpstr>RACHEL!Área_de_impresión</vt:lpstr>
      <vt:lpstr>'SANTIAGO G'!Área_de_impresión</vt:lpstr>
      <vt:lpstr>STEFANY!Área_de_impresión</vt:lpstr>
      <vt:lpstr>VERONICA!Área_de_impresión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CECILIO ACOSTA</cp:lastModifiedBy>
  <cp:lastPrinted>2025-03-17T13:39:33Z</cp:lastPrinted>
  <dcterms:created xsi:type="dcterms:W3CDTF">2023-11-22T13:07:37Z</dcterms:created>
  <dcterms:modified xsi:type="dcterms:W3CDTF">2026-02-11T18:06:35Z</dcterms:modified>
</cp:coreProperties>
</file>