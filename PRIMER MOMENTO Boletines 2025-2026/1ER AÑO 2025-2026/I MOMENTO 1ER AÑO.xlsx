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NOLO\Users\Public\MANOLO\DOCUMENTOS 2025-2026\PRIMER MOMENTO Boletines 2025-2026\1ER AÑO 2025-2026\"/>
    </mc:Choice>
  </mc:AlternateContent>
  <bookViews>
    <workbookView minimized="1" xWindow="120" yWindow="150" windowWidth="20115" windowHeight="7995" tabRatio="940" activeTab="1"/>
  </bookViews>
  <sheets>
    <sheet name="NOMINA" sheetId="2" r:id="rId1"/>
    <sheet name="CECIN" sheetId="12" r:id="rId2"/>
    <sheet name="GUZMAN2" sheetId="7" r:id="rId3"/>
    <sheet name="AMUNDARAY" sheetId="13" r:id="rId4"/>
    <sheet name="LARA" sheetId="14" r:id="rId5"/>
    <sheet name="TABARES" sheetId="8" r:id="rId6"/>
    <sheet name="CHACOA" sheetId="15" r:id="rId7"/>
    <sheet name="RODRIGUEZ" sheetId="21" r:id="rId8"/>
    <sheet name="GOMEZ" sheetId="9" r:id="rId9"/>
    <sheet name="BRITO" sheetId="18" r:id="rId10"/>
    <sheet name="CABELLO" sheetId="16" r:id="rId11"/>
    <sheet name="PEÑA" sheetId="17" r:id="rId12"/>
    <sheet name="LEARIS" sheetId="22" r:id="rId13"/>
  </sheets>
  <externalReferences>
    <externalReference r:id="rId14"/>
  </externalReferences>
  <definedNames>
    <definedName name="_xlnm.Print_Area" localSheetId="3">AMUNDARAY!$A$1:$S$34</definedName>
    <definedName name="_xlnm.Print_Area" localSheetId="9">BRITO!$A$1:$S$34</definedName>
    <definedName name="_xlnm.Print_Area" localSheetId="10">CABELLO!$A$1:$S$34</definedName>
    <definedName name="_xlnm.Print_Area" localSheetId="1">CECIN!$A$1:$S$34</definedName>
    <definedName name="_xlnm.Print_Area" localSheetId="6">CHACOA!$A$1:$S$34</definedName>
    <definedName name="_xlnm.Print_Area" localSheetId="8">GOMEZ!$A$1:$S$34</definedName>
    <definedName name="_xlnm.Print_Area" localSheetId="2">GUZMAN2!$A$1:$S$34</definedName>
    <definedName name="_xlnm.Print_Area" localSheetId="4">LARA!$A$1:$S$34</definedName>
    <definedName name="_xlnm.Print_Area" localSheetId="12">LEARIS!$A$1:$S$34</definedName>
    <definedName name="_xlnm.Print_Area" localSheetId="11">PEÑA!$A$1:$S$34</definedName>
    <definedName name="_xlnm.Print_Area" localSheetId="7">RODRIGUEZ!$A$1:$S$33</definedName>
    <definedName name="_xlnm.Print_Area" localSheetId="5">TABARES!$A$1:$S$34</definedName>
  </definedNames>
  <calcPr calcId="162913"/>
</workbook>
</file>

<file path=xl/calcChain.xml><?xml version="1.0" encoding="utf-8"?>
<calcChain xmlns="http://schemas.openxmlformats.org/spreadsheetml/2006/main">
  <c r="J27" i="12" l="1"/>
  <c r="J30" i="22" l="1"/>
  <c r="J25" i="22"/>
  <c r="J24" i="22"/>
  <c r="J23" i="22"/>
  <c r="J22" i="22"/>
  <c r="J21" i="22"/>
  <c r="J20" i="22"/>
  <c r="J19" i="22"/>
  <c r="J27" i="22" s="1"/>
  <c r="J27" i="7" l="1"/>
  <c r="J27" i="13"/>
  <c r="J27" i="14"/>
  <c r="J27" i="8"/>
  <c r="J27" i="15"/>
  <c r="J27" i="21"/>
  <c r="J27" i="9"/>
  <c r="J27" i="18"/>
  <c r="J27" i="16"/>
  <c r="J27" i="17"/>
  <c r="J30" i="17" l="1"/>
  <c r="J25" i="17"/>
  <c r="J24" i="17"/>
  <c r="J23" i="17"/>
  <c r="J22" i="17"/>
  <c r="J21" i="17"/>
  <c r="J20" i="17"/>
  <c r="J19" i="17"/>
  <c r="J30" i="16"/>
  <c r="J25" i="16"/>
  <c r="J24" i="16"/>
  <c r="J23" i="16"/>
  <c r="J22" i="16"/>
  <c r="J21" i="16"/>
  <c r="J20" i="16"/>
  <c r="J19" i="16"/>
  <c r="J30" i="18"/>
  <c r="J25" i="18"/>
  <c r="J24" i="18"/>
  <c r="J23" i="18"/>
  <c r="J22" i="18"/>
  <c r="J21" i="18"/>
  <c r="J20" i="18"/>
  <c r="J19" i="18"/>
  <c r="J25" i="9"/>
  <c r="J24" i="9"/>
  <c r="J23" i="9"/>
  <c r="J22" i="9"/>
  <c r="J21" i="9"/>
  <c r="J20" i="9"/>
  <c r="J19" i="9"/>
  <c r="J30" i="21"/>
  <c r="J25" i="21"/>
  <c r="J24" i="21"/>
  <c r="J23" i="21"/>
  <c r="J22" i="21"/>
  <c r="J21" i="21"/>
  <c r="J20" i="21" l="1"/>
  <c r="J19" i="21"/>
  <c r="J25" i="15"/>
  <c r="J24" i="15"/>
  <c r="J23" i="15"/>
  <c r="J22" i="15"/>
  <c r="J21" i="15"/>
  <c r="J20" i="15"/>
  <c r="J19" i="15"/>
  <c r="J30" i="8"/>
  <c r="J25" i="8"/>
  <c r="J24" i="8"/>
  <c r="J23" i="8"/>
  <c r="J22" i="8"/>
  <c r="J21" i="8"/>
  <c r="J20" i="8"/>
  <c r="J19" i="8"/>
  <c r="J25" i="14"/>
  <c r="J24" i="14"/>
  <c r="J23" i="14"/>
  <c r="J22" i="14"/>
  <c r="J21" i="14"/>
  <c r="J20" i="14"/>
  <c r="J19" i="14"/>
  <c r="J30" i="13"/>
  <c r="J25" i="13"/>
  <c r="J24" i="13"/>
  <c r="J23" i="13"/>
  <c r="J22" i="13"/>
  <c r="J21" i="13"/>
  <c r="J20" i="13"/>
  <c r="J19" i="13"/>
  <c r="J30" i="7"/>
  <c r="J25" i="7"/>
  <c r="J24" i="7"/>
  <c r="J23" i="7"/>
  <c r="J22" i="7"/>
  <c r="J21" i="7"/>
  <c r="J20" i="7"/>
  <c r="J19" i="7"/>
  <c r="J25" i="12"/>
  <c r="J24" i="12"/>
  <c r="J23" i="12"/>
  <c r="J22" i="12" l="1"/>
  <c r="J21" i="12"/>
  <c r="J20" i="12"/>
  <c r="J19" i="12"/>
  <c r="C38" i="2" l="1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37" i="2"/>
</calcChain>
</file>

<file path=xl/sharedStrings.xml><?xml version="1.0" encoding="utf-8"?>
<sst xmlns="http://schemas.openxmlformats.org/spreadsheetml/2006/main" count="507" uniqueCount="89">
  <si>
    <t>BOLETIN DE CALIFICACIONES</t>
  </si>
  <si>
    <t>U. E. P. CECILIO ACOSTA</t>
  </si>
  <si>
    <t>NOMBRES Y APELLIDOS:</t>
  </si>
  <si>
    <t>C.I.: V-</t>
  </si>
  <si>
    <t>LUGAR DE NACIMIENTO:</t>
  </si>
  <si>
    <t xml:space="preserve">FECHA DE NACIMIENTO: </t>
  </si>
  <si>
    <t>AÑO:</t>
  </si>
  <si>
    <t>SECCION:</t>
  </si>
  <si>
    <t>AÑO ESCOLAR:</t>
  </si>
  <si>
    <t>NOMBRE Y APELLIDO DEL REPRESENTANTE:</t>
  </si>
  <si>
    <t xml:space="preserve">PROFESOR ORIENTADOR: </t>
  </si>
  <si>
    <t>EDAD:</t>
  </si>
  <si>
    <t>ÁREAS DE FORMACIÓN</t>
  </si>
  <si>
    <t>CASTELLANO</t>
  </si>
  <si>
    <t>INGLÉS Y OTRAS LENGUAS E.</t>
  </si>
  <si>
    <t>MATEMÁTICA</t>
  </si>
  <si>
    <t>EDUCACIÓN FÍSICA</t>
  </si>
  <si>
    <t>GEOGRAFÍA, HISTORIA. Y CIUD.</t>
  </si>
  <si>
    <t>PROMEDIO</t>
  </si>
  <si>
    <t>INFORME DE LA ACTUACIÓN DEL O LA ESTUDIANTE</t>
  </si>
  <si>
    <t>INASISTENCIAS</t>
  </si>
  <si>
    <t>FIRMA DEL DIRECTOR</t>
  </si>
  <si>
    <t>FIRMA DEL EVALUADOR</t>
  </si>
  <si>
    <t>SELLO</t>
  </si>
  <si>
    <t>ORIENTACION</t>
  </si>
  <si>
    <t>"U"</t>
  </si>
  <si>
    <t>ARTE Y PATRIMONIO</t>
  </si>
  <si>
    <t>CIENCIAS NATURALES</t>
  </si>
  <si>
    <t>GRUPO DE CREACIÓN, RECREACIÓN Y PRODUCCIÓN</t>
  </si>
  <si>
    <t xml:space="preserve"> CALIFICACIÓN</t>
  </si>
  <si>
    <t>CALIFICACIÓN 1ER MOMENTO</t>
  </si>
  <si>
    <t>REPUBLICA BOLIVARIANA DE VENEZUELA</t>
  </si>
  <si>
    <t xml:space="preserve">MINISTERIO DEL PODER POPULAR PARA LA EDUCACIÓN </t>
  </si>
  <si>
    <t>UNIDAD EDUCATIVA "CECILIO ACOSTA"</t>
  </si>
  <si>
    <t>DEPARTAMENTO DE EVALUACIÓN Y CONTROL DE ESTUDIO</t>
  </si>
  <si>
    <t>N°</t>
  </si>
  <si>
    <t>CÉDULA</t>
  </si>
  <si>
    <t>APELLIDOS Y NOMBRES</t>
  </si>
  <si>
    <t>GONZÁLEZ VALLENILLA SEBASTIÁN JOSÉ</t>
  </si>
  <si>
    <t>GONZÁLEZ VALLENILLA SANTIAGO ALEJANDRO</t>
  </si>
  <si>
    <t>CHACOA SOSA VENEZIA</t>
  </si>
  <si>
    <t>JIMÉNEZ MORALES VÍCTOR SAMUEL</t>
  </si>
  <si>
    <t>SANTIAGO FIGUEROA ANDRES EMILIO</t>
  </si>
  <si>
    <t>VELÁSQUEZ GUERRA FRANCISCO ALEJANDRO</t>
  </si>
  <si>
    <t>CANELON CENTENO MAXIMILIANO</t>
  </si>
  <si>
    <t>HERNANDEZ RUIZ JESUS RAMON</t>
  </si>
  <si>
    <t>ROJAS RODRÍGUEZ MICHELYS DE LOS ANGELES</t>
  </si>
  <si>
    <t>CARABALLO CABELLO VICTORIA SOFÍA</t>
  </si>
  <si>
    <t>RODRÍGUEZ BOLIVAR DARYANA DE LOS ANGELES</t>
  </si>
  <si>
    <t>ANTÓN RODRÍGUEZ JOSÉ GABRIEL</t>
  </si>
  <si>
    <t>FUENTES MOSQUEDA FABIANA VALENTINA</t>
  </si>
  <si>
    <t>MARTÍNEZ CABRERA CESAR ERNESTO</t>
  </si>
  <si>
    <t>ABBOUD LEANDRO FRANCISCO AZIZ</t>
  </si>
  <si>
    <t>RODRÍGUEZ BENÍTEZ LUCIANO ALESSANDRO</t>
  </si>
  <si>
    <t>MATURIN</t>
  </si>
  <si>
    <t>DATOS</t>
  </si>
  <si>
    <t>NOTAS</t>
  </si>
  <si>
    <t>ENTREGADO</t>
  </si>
  <si>
    <t>DAIRIMAR BOLIVAR</t>
  </si>
  <si>
    <t>1ER</t>
  </si>
  <si>
    <t>MUSICA</t>
  </si>
  <si>
    <t>2025-2026</t>
  </si>
  <si>
    <t>ALEJANDRA SOFIA CECIN CUSATI</t>
  </si>
  <si>
    <t>KARLA CUSATI</t>
  </si>
  <si>
    <t>VICTORIA ELIZABETH AMUNDARAY HERNANDEZ</t>
  </si>
  <si>
    <t>YONNIMAR HERNANDEZ</t>
  </si>
  <si>
    <t>JULIANNYS ESTEFANIA TABARES PEÑA</t>
  </si>
  <si>
    <t>LIBERTADOR - TEMBLADOR</t>
  </si>
  <si>
    <t>MARGARETH YSABEL CHACOA SOSA</t>
  </si>
  <si>
    <t xml:space="preserve"> FRANCIS SOSA</t>
  </si>
  <si>
    <t xml:space="preserve">HONEY VALENTINA RODRIGUEZ BOLIVAR </t>
  </si>
  <si>
    <t>CARLA ESTEFANIS GUZMAN YANEZ</t>
  </si>
  <si>
    <t>NIEVES YANEZ</t>
  </si>
  <si>
    <t>EUCARLYS VICTORIA LARA GUTIERREZ</t>
  </si>
  <si>
    <t xml:space="preserve">MAILYN PEÑA </t>
  </si>
  <si>
    <t>ARANZA PATRICIA GOMEZ COVA</t>
  </si>
  <si>
    <t>BLANCA COVA</t>
  </si>
  <si>
    <t>PEDRO ALEJANDRO BRITO MARCANO</t>
  </si>
  <si>
    <t>KARINA MARCANO</t>
  </si>
  <si>
    <t>ADRIANA JUDITH CABELLO PALACIOS</t>
  </si>
  <si>
    <t>IRACEMA PALACIOS</t>
  </si>
  <si>
    <t>VICTORIA SOFIA PEÑA RONDON</t>
  </si>
  <si>
    <t>ERENDA RONDON</t>
  </si>
  <si>
    <t>LILIANA GUTIERREZ</t>
  </si>
  <si>
    <t>U. E. CECILIO ACOSTA</t>
  </si>
  <si>
    <t>7 DE MARZO DE 2014</t>
  </si>
  <si>
    <t>U. E.  CECILIO ACOSTA</t>
  </si>
  <si>
    <t>SOMINGO URBANEJA</t>
  </si>
  <si>
    <t>DOMINGO URBANEJA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</si>
</sst>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V\ 0"/>
  </numFmts>
  <fonts count="21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mbria"/>
      <family val="1"/>
    </font>
    <font>
      <b/>
      <i/>
      <sz val="12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14"/>
      <color theme="1"/>
      <name val="Stencil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EFEFF0"/>
      </patternFill>
    </fill>
  </fills>
  <borders count="5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thin">
        <color theme="3" tint="-0.249977111117893"/>
      </top>
      <bottom style="double">
        <color theme="3" tint="-0.249977111117893"/>
      </bottom>
      <diagonal/>
    </border>
    <border>
      <left/>
      <right/>
      <top style="thin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thin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/>
      <diagonal/>
    </border>
    <border>
      <left style="double">
        <color theme="3" tint="-0.249977111117893"/>
      </left>
      <right/>
      <top style="double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/>
      <right style="double">
        <color theme="3" tint="-0.249977111117893"/>
      </right>
      <top style="thin">
        <color theme="3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theme="3" tint="-0.249977111117893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81"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12" xfId="0" applyFont="1" applyBorder="1" applyAlignment="1"/>
    <xf numFmtId="0" fontId="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3" fillId="0" borderId="0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1" fillId="0" borderId="29" xfId="0" applyFont="1" applyBorder="1" applyAlignment="1"/>
    <xf numFmtId="0" fontId="11" fillId="0" borderId="29" xfId="0" applyFont="1" applyBorder="1"/>
    <xf numFmtId="0" fontId="12" fillId="0" borderId="29" xfId="0" applyFont="1" applyBorder="1"/>
    <xf numFmtId="0" fontId="11" fillId="0" borderId="28" xfId="0" applyFont="1" applyBorder="1"/>
    <xf numFmtId="0" fontId="12" fillId="0" borderId="29" xfId="0" applyFont="1" applyBorder="1" applyAlignment="1"/>
    <xf numFmtId="0" fontId="14" fillId="0" borderId="29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46" xfId="0" applyBorder="1"/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5" xfId="0" applyBorder="1"/>
    <xf numFmtId="0" fontId="11" fillId="0" borderId="0" xfId="0" applyFont="1"/>
    <xf numFmtId="0" fontId="11" fillId="0" borderId="5" xfId="0" applyFont="1" applyBorder="1"/>
    <xf numFmtId="164" fontId="11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1" fillId="4" borderId="5" xfId="0" applyFont="1" applyFill="1" applyBorder="1"/>
    <xf numFmtId="0" fontId="18" fillId="4" borderId="5" xfId="0" applyFont="1" applyFill="1" applyBorder="1" applyAlignment="1">
      <alignment horizontal="center"/>
    </xf>
    <xf numFmtId="0" fontId="18" fillId="4" borderId="5" xfId="0" applyFont="1" applyFill="1" applyBorder="1"/>
    <xf numFmtId="0" fontId="0" fillId="0" borderId="0" xfId="0" applyBorder="1" applyAlignment="1">
      <alignment vertic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11" fillId="0" borderId="52" xfId="0" applyFont="1" applyBorder="1" applyAlignment="1"/>
    <xf numFmtId="0" fontId="11" fillId="0" borderId="52" xfId="0" applyFont="1" applyBorder="1"/>
    <xf numFmtId="0" fontId="12" fillId="0" borderId="52" xfId="0" applyFont="1" applyBorder="1"/>
    <xf numFmtId="0" fontId="11" fillId="0" borderId="51" xfId="0" applyFont="1" applyBorder="1"/>
    <xf numFmtId="0" fontId="12" fillId="0" borderId="52" xfId="0" applyFont="1" applyBorder="1" applyAlignment="1"/>
    <xf numFmtId="0" fontId="14" fillId="0" borderId="52" xfId="0" applyFont="1" applyBorder="1" applyAlignment="1">
      <alignment vertical="center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3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17" fillId="2" borderId="56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0" fillId="0" borderId="58" xfId="0" applyBorder="1"/>
    <xf numFmtId="0" fontId="13" fillId="0" borderId="54" xfId="0" applyFont="1" applyBorder="1"/>
    <xf numFmtId="0" fontId="12" fillId="0" borderId="0" xfId="0" applyFont="1" applyBorder="1" applyAlignment="1">
      <alignment horizontal="center"/>
    </xf>
    <xf numFmtId="0" fontId="0" fillId="0" borderId="52" xfId="0" applyBorder="1" applyAlignment="1">
      <alignment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/>
    </xf>
    <xf numFmtId="0" fontId="19" fillId="0" borderId="5" xfId="1" applyBorder="1" applyAlignment="1">
      <alignment horizontal="left"/>
    </xf>
    <xf numFmtId="0" fontId="19" fillId="0" borderId="5" xfId="1" applyBorder="1"/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0" fontId="12" fillId="0" borderId="3" xfId="0" applyFont="1" applyBorder="1" applyAlignment="1">
      <alignment horizontal="center" shrinkToFit="1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 wrapText="1"/>
    </xf>
    <xf numFmtId="0" fontId="16" fillId="4" borderId="1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0" fontId="12" fillId="4" borderId="22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7" fillId="5" borderId="34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17" fillId="5" borderId="3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" xfId="0" applyBorder="1" applyAlignment="1">
      <alignment horizontal="center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" fontId="12" fillId="0" borderId="24" xfId="0" applyNumberFormat="1" applyFont="1" applyBorder="1" applyAlignment="1">
      <alignment horizontal="center"/>
    </xf>
    <xf numFmtId="2" fontId="12" fillId="0" borderId="13" xfId="0" applyNumberFormat="1" applyFont="1" applyBorder="1" applyAlignment="1">
      <alignment horizontal="center"/>
    </xf>
    <xf numFmtId="2" fontId="12" fillId="0" borderId="18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4" borderId="34" xfId="0" applyFont="1" applyFill="1" applyBorder="1" applyAlignment="1">
      <alignment horizontal="center" wrapText="1"/>
    </xf>
    <xf numFmtId="0" fontId="12" fillId="4" borderId="35" xfId="0" applyFont="1" applyFill="1" applyBorder="1" applyAlignment="1">
      <alignment horizontal="center" wrapText="1"/>
    </xf>
    <xf numFmtId="0" fontId="12" fillId="4" borderId="36" xfId="0" applyFont="1" applyFill="1" applyBorder="1" applyAlignment="1">
      <alignment horizontal="center" wrapText="1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03C89"/>
      <color rgb="FFCC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19050</xdr:rowOff>
    </xdr:from>
    <xdr:to>
      <xdr:col>8</xdr:col>
      <xdr:colOff>188470</xdr:colOff>
      <xdr:row>4</xdr:row>
      <xdr:rowOff>4629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9050"/>
          <a:ext cx="2950720" cy="6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126447</xdr:colOff>
      <xdr:row>3</xdr:row>
      <xdr:rowOff>87474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MANOLO/DOCUMENTOS%202025-2026/SABANAS%20DE%20EVALUACION%202025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er Año U "/>
      <sheetName val="2do Año U"/>
      <sheetName val="3er Año U"/>
      <sheetName val="4to Año A"/>
      <sheetName val="4to Año B"/>
      <sheetName val="5to Año A"/>
      <sheetName val="5to Año B"/>
    </sheetNames>
    <sheetDataSet>
      <sheetData sheetId="0" refreshError="1">
        <row r="11">
          <cell r="E11">
            <v>18</v>
          </cell>
          <cell r="J11">
            <v>19</v>
          </cell>
          <cell r="O11">
            <v>18</v>
          </cell>
          <cell r="T11">
            <v>19</v>
          </cell>
          <cell r="Y11">
            <v>18</v>
          </cell>
          <cell r="AD11">
            <v>19</v>
          </cell>
          <cell r="AI11">
            <v>18</v>
          </cell>
        </row>
        <row r="12">
          <cell r="E12">
            <v>13</v>
          </cell>
          <cell r="J12">
            <v>15</v>
          </cell>
          <cell r="O12">
            <v>13</v>
          </cell>
          <cell r="T12">
            <v>17</v>
          </cell>
          <cell r="Y12">
            <v>14</v>
          </cell>
          <cell r="AD12">
            <v>15</v>
          </cell>
          <cell r="AI12">
            <v>13</v>
          </cell>
          <cell r="AN12">
            <v>17</v>
          </cell>
        </row>
        <row r="13">
          <cell r="E13">
            <v>13</v>
          </cell>
          <cell r="J13">
            <v>15</v>
          </cell>
          <cell r="O13">
            <v>18</v>
          </cell>
          <cell r="T13">
            <v>18</v>
          </cell>
          <cell r="Y13">
            <v>16</v>
          </cell>
          <cell r="AD13">
            <v>13</v>
          </cell>
          <cell r="AI13">
            <v>13</v>
          </cell>
          <cell r="AN13">
            <v>19</v>
          </cell>
        </row>
        <row r="14">
          <cell r="E14">
            <v>19</v>
          </cell>
          <cell r="J14">
            <v>20</v>
          </cell>
          <cell r="O14">
            <v>19</v>
          </cell>
          <cell r="T14">
            <v>19</v>
          </cell>
          <cell r="Y14">
            <v>19</v>
          </cell>
          <cell r="AD14">
            <v>20</v>
          </cell>
          <cell r="AI14">
            <v>20</v>
          </cell>
        </row>
        <row r="15">
          <cell r="E15">
            <v>15</v>
          </cell>
          <cell r="J15">
            <v>17</v>
          </cell>
          <cell r="O15">
            <v>15</v>
          </cell>
          <cell r="T15">
            <v>19</v>
          </cell>
          <cell r="Y15">
            <v>17</v>
          </cell>
          <cell r="AD15">
            <v>17</v>
          </cell>
          <cell r="AI15">
            <v>18</v>
          </cell>
          <cell r="AN15">
            <v>20</v>
          </cell>
        </row>
        <row r="16">
          <cell r="E16">
            <v>16</v>
          </cell>
          <cell r="J16">
            <v>17</v>
          </cell>
          <cell r="O16">
            <v>13</v>
          </cell>
          <cell r="T16">
            <v>19</v>
          </cell>
          <cell r="Y16">
            <v>17</v>
          </cell>
          <cell r="AD16">
            <v>16</v>
          </cell>
          <cell r="AI16">
            <v>15</v>
          </cell>
        </row>
        <row r="17">
          <cell r="E17">
            <v>14</v>
          </cell>
          <cell r="J17">
            <v>14</v>
          </cell>
          <cell r="O17">
            <v>5</v>
          </cell>
          <cell r="T17">
            <v>16</v>
          </cell>
          <cell r="Y17">
            <v>13</v>
          </cell>
          <cell r="AD17">
            <v>12</v>
          </cell>
          <cell r="AI17">
            <v>11</v>
          </cell>
          <cell r="AN17">
            <v>16</v>
          </cell>
        </row>
        <row r="18">
          <cell r="E18">
            <v>16</v>
          </cell>
          <cell r="J18">
            <v>20</v>
          </cell>
          <cell r="O18">
            <v>19</v>
          </cell>
          <cell r="T18">
            <v>18</v>
          </cell>
          <cell r="Y18">
            <v>18</v>
          </cell>
          <cell r="AD18">
            <v>19</v>
          </cell>
          <cell r="AI18">
            <v>20</v>
          </cell>
        </row>
        <row r="19">
          <cell r="E19">
            <v>15</v>
          </cell>
          <cell r="J19">
            <v>16</v>
          </cell>
          <cell r="O19">
            <v>18</v>
          </cell>
          <cell r="Y19">
            <v>16</v>
          </cell>
          <cell r="AD19">
            <v>14</v>
          </cell>
          <cell r="AI19">
            <v>16</v>
          </cell>
          <cell r="AN19">
            <v>17</v>
          </cell>
        </row>
        <row r="20">
          <cell r="E20">
            <v>16</v>
          </cell>
          <cell r="J20">
            <v>17</v>
          </cell>
          <cell r="O20">
            <v>13</v>
          </cell>
          <cell r="T20">
            <v>18</v>
          </cell>
          <cell r="Y20">
            <v>13</v>
          </cell>
          <cell r="AD20">
            <v>17</v>
          </cell>
          <cell r="AI20">
            <v>15</v>
          </cell>
          <cell r="AN20">
            <v>20</v>
          </cell>
        </row>
        <row r="21">
          <cell r="E21">
            <v>13</v>
          </cell>
          <cell r="J21">
            <v>15</v>
          </cell>
          <cell r="O21">
            <v>13</v>
          </cell>
          <cell r="T21">
            <v>19</v>
          </cell>
          <cell r="Y21">
            <v>16</v>
          </cell>
          <cell r="AD21">
            <v>10</v>
          </cell>
          <cell r="AI21">
            <v>13</v>
          </cell>
        </row>
        <row r="22">
          <cell r="AN22">
            <v>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57"/>
  <sheetViews>
    <sheetView workbookViewId="0">
      <selection activeCell="C7" sqref="C7:G7"/>
    </sheetView>
  </sheetViews>
  <sheetFormatPr baseColWidth="10" defaultRowHeight="15" x14ac:dyDescent="0.25"/>
  <cols>
    <col min="1" max="1" width="3.42578125" customWidth="1"/>
  </cols>
  <sheetData>
    <row r="1" spans="1:10" x14ac:dyDescent="0.25">
      <c r="A1" s="33" t="s">
        <v>31</v>
      </c>
      <c r="B1" s="33"/>
      <c r="C1" s="33"/>
      <c r="D1" s="33"/>
      <c r="E1" s="33"/>
      <c r="F1" s="33"/>
    </row>
    <row r="2" spans="1:10" x14ac:dyDescent="0.25">
      <c r="A2" s="33" t="s">
        <v>32</v>
      </c>
      <c r="B2" s="33"/>
      <c r="C2" s="33"/>
      <c r="D2" s="33"/>
      <c r="E2" s="33"/>
      <c r="F2" s="33"/>
    </row>
    <row r="3" spans="1:10" x14ac:dyDescent="0.25">
      <c r="A3" s="33" t="s">
        <v>33</v>
      </c>
      <c r="B3" s="33"/>
      <c r="C3" s="33"/>
      <c r="D3" s="33"/>
      <c r="E3" s="33"/>
      <c r="F3" s="33"/>
    </row>
    <row r="4" spans="1:10" x14ac:dyDescent="0.25">
      <c r="A4" s="33" t="s">
        <v>34</v>
      </c>
      <c r="B4" s="33"/>
      <c r="C4" s="33"/>
      <c r="D4" s="33"/>
      <c r="E4" s="33"/>
      <c r="F4" s="33"/>
    </row>
    <row r="5" spans="1:10" x14ac:dyDescent="0.25">
      <c r="A5" s="33"/>
      <c r="B5" s="33"/>
      <c r="C5" s="33"/>
      <c r="D5" s="33"/>
      <c r="E5" s="33"/>
      <c r="F5" s="33"/>
    </row>
    <row r="6" spans="1:10" x14ac:dyDescent="0.25">
      <c r="A6" s="38" t="s">
        <v>35</v>
      </c>
      <c r="B6" s="38" t="s">
        <v>36</v>
      </c>
      <c r="C6" s="72" t="s">
        <v>37</v>
      </c>
      <c r="D6" s="72"/>
      <c r="E6" s="72"/>
      <c r="F6" s="72"/>
      <c r="G6" s="72"/>
      <c r="H6" s="39" t="s">
        <v>55</v>
      </c>
      <c r="I6" s="39" t="s">
        <v>56</v>
      </c>
      <c r="J6" s="40" t="s">
        <v>57</v>
      </c>
    </row>
    <row r="7" spans="1:10" x14ac:dyDescent="0.25">
      <c r="A7" s="34">
        <v>1</v>
      </c>
      <c r="B7" s="35">
        <v>33581259</v>
      </c>
      <c r="C7" s="74" t="s">
        <v>38</v>
      </c>
      <c r="D7" s="74"/>
      <c r="E7" s="74"/>
      <c r="F7" s="74"/>
      <c r="G7" s="74"/>
      <c r="H7" s="36">
        <v>2</v>
      </c>
      <c r="I7" s="36">
        <v>2</v>
      </c>
      <c r="J7" s="37"/>
    </row>
    <row r="8" spans="1:10" x14ac:dyDescent="0.25">
      <c r="A8" s="34">
        <v>2</v>
      </c>
      <c r="B8" s="35">
        <v>33682052</v>
      </c>
      <c r="C8" s="74" t="s">
        <v>39</v>
      </c>
      <c r="D8" s="74"/>
      <c r="E8" s="74"/>
      <c r="F8" s="74"/>
      <c r="G8" s="74"/>
      <c r="H8" s="36">
        <v>2</v>
      </c>
      <c r="I8" s="36">
        <v>2</v>
      </c>
      <c r="J8" s="32"/>
    </row>
    <row r="9" spans="1:10" x14ac:dyDescent="0.25">
      <c r="A9" s="34">
        <v>3</v>
      </c>
      <c r="B9" s="35">
        <v>33832037</v>
      </c>
      <c r="C9" s="74" t="s">
        <v>40</v>
      </c>
      <c r="D9" s="74"/>
      <c r="E9" s="74"/>
      <c r="F9" s="74"/>
      <c r="G9" s="74"/>
      <c r="H9" s="36">
        <v>2</v>
      </c>
      <c r="I9" s="36">
        <v>2</v>
      </c>
      <c r="J9" s="32"/>
    </row>
    <row r="10" spans="1:10" x14ac:dyDescent="0.25">
      <c r="A10" s="34">
        <v>4</v>
      </c>
      <c r="B10" s="35">
        <v>33832760</v>
      </c>
      <c r="C10" s="74" t="s">
        <v>41</v>
      </c>
      <c r="D10" s="74"/>
      <c r="E10" s="74"/>
      <c r="F10" s="74"/>
      <c r="G10" s="74"/>
      <c r="H10" s="36">
        <v>2</v>
      </c>
      <c r="I10" s="36">
        <v>2</v>
      </c>
      <c r="J10" s="32"/>
    </row>
    <row r="11" spans="1:10" x14ac:dyDescent="0.25">
      <c r="A11" s="34">
        <v>5</v>
      </c>
      <c r="B11" s="35">
        <v>33835014</v>
      </c>
      <c r="C11" s="74" t="s">
        <v>42</v>
      </c>
      <c r="D11" s="74"/>
      <c r="E11" s="74"/>
      <c r="F11" s="74"/>
      <c r="G11" s="74"/>
      <c r="H11" s="36">
        <v>2</v>
      </c>
      <c r="I11" s="36">
        <v>2</v>
      </c>
      <c r="J11" s="32"/>
    </row>
    <row r="12" spans="1:10" x14ac:dyDescent="0.25">
      <c r="A12" s="34">
        <v>6</v>
      </c>
      <c r="B12" s="35">
        <v>33837467</v>
      </c>
      <c r="C12" s="73" t="s">
        <v>43</v>
      </c>
      <c r="D12" s="73"/>
      <c r="E12" s="73"/>
      <c r="F12" s="73"/>
      <c r="G12" s="73"/>
      <c r="H12" s="36">
        <v>2</v>
      </c>
      <c r="I12" s="36">
        <v>2</v>
      </c>
      <c r="J12" s="32"/>
    </row>
    <row r="13" spans="1:10" x14ac:dyDescent="0.25">
      <c r="A13" s="34">
        <v>7</v>
      </c>
      <c r="B13" s="35">
        <v>33837706</v>
      </c>
      <c r="C13" s="73" t="s">
        <v>44</v>
      </c>
      <c r="D13" s="73"/>
      <c r="E13" s="73"/>
      <c r="F13" s="73"/>
      <c r="G13" s="73"/>
      <c r="H13" s="36">
        <v>2</v>
      </c>
      <c r="I13" s="36">
        <v>2</v>
      </c>
      <c r="J13" s="32"/>
    </row>
    <row r="14" spans="1:10" x14ac:dyDescent="0.25">
      <c r="A14" s="34">
        <v>8</v>
      </c>
      <c r="B14" s="35">
        <v>33841758</v>
      </c>
      <c r="C14" s="73" t="s">
        <v>45</v>
      </c>
      <c r="D14" s="73"/>
      <c r="E14" s="73"/>
      <c r="F14" s="73"/>
      <c r="G14" s="73"/>
      <c r="H14" s="36">
        <v>2</v>
      </c>
      <c r="I14" s="36">
        <v>2</v>
      </c>
      <c r="J14" s="32"/>
    </row>
    <row r="15" spans="1:10" x14ac:dyDescent="0.25">
      <c r="A15" s="34">
        <v>9</v>
      </c>
      <c r="B15" s="35">
        <v>33953315</v>
      </c>
      <c r="C15" s="73" t="s">
        <v>46</v>
      </c>
      <c r="D15" s="73"/>
      <c r="E15" s="73"/>
      <c r="F15" s="73"/>
      <c r="G15" s="73"/>
      <c r="H15" s="36">
        <v>2</v>
      </c>
      <c r="I15" s="36">
        <v>2</v>
      </c>
      <c r="J15" s="32"/>
    </row>
    <row r="16" spans="1:10" x14ac:dyDescent="0.25">
      <c r="A16" s="34">
        <v>10</v>
      </c>
      <c r="B16" s="35">
        <v>34100197</v>
      </c>
      <c r="C16" s="73" t="s">
        <v>47</v>
      </c>
      <c r="D16" s="73"/>
      <c r="E16" s="73"/>
      <c r="F16" s="73"/>
      <c r="G16" s="73"/>
      <c r="H16" s="36">
        <v>2</v>
      </c>
      <c r="I16" s="36">
        <v>2</v>
      </c>
      <c r="J16" s="32"/>
    </row>
    <row r="17" spans="1:10" x14ac:dyDescent="0.25">
      <c r="A17" s="34">
        <v>11</v>
      </c>
      <c r="B17" s="35">
        <v>34103638</v>
      </c>
      <c r="C17" s="73" t="s">
        <v>48</v>
      </c>
      <c r="D17" s="73"/>
      <c r="E17" s="73"/>
      <c r="F17" s="73"/>
      <c r="G17" s="73"/>
      <c r="H17" s="36">
        <v>2</v>
      </c>
      <c r="I17" s="36">
        <v>2</v>
      </c>
      <c r="J17" s="32"/>
    </row>
    <row r="18" spans="1:10" x14ac:dyDescent="0.25">
      <c r="A18" s="34">
        <v>12</v>
      </c>
      <c r="B18" s="35">
        <v>34103648</v>
      </c>
      <c r="C18" s="73" t="s">
        <v>49</v>
      </c>
      <c r="D18" s="73"/>
      <c r="E18" s="73"/>
      <c r="F18" s="73"/>
      <c r="G18" s="73"/>
      <c r="H18" s="36">
        <v>2</v>
      </c>
      <c r="I18" s="36">
        <v>2</v>
      </c>
      <c r="J18" s="32"/>
    </row>
    <row r="19" spans="1:10" x14ac:dyDescent="0.25">
      <c r="A19" s="34">
        <v>13</v>
      </c>
      <c r="B19" s="35">
        <v>34358700</v>
      </c>
      <c r="C19" s="73" t="s">
        <v>50</v>
      </c>
      <c r="D19" s="73"/>
      <c r="E19" s="73"/>
      <c r="F19" s="73"/>
      <c r="G19" s="73"/>
      <c r="H19" s="36">
        <v>2</v>
      </c>
      <c r="I19" s="36">
        <v>2</v>
      </c>
      <c r="J19" s="32"/>
    </row>
    <row r="20" spans="1:10" x14ac:dyDescent="0.25">
      <c r="A20" s="34">
        <v>14</v>
      </c>
      <c r="B20" s="35">
        <v>34492247</v>
      </c>
      <c r="C20" s="73" t="s">
        <v>51</v>
      </c>
      <c r="D20" s="73"/>
      <c r="E20" s="73"/>
      <c r="F20" s="73"/>
      <c r="G20" s="73"/>
      <c r="H20" s="36">
        <v>2</v>
      </c>
      <c r="I20" s="36">
        <v>2</v>
      </c>
      <c r="J20" s="32"/>
    </row>
    <row r="21" spans="1:10" x14ac:dyDescent="0.25">
      <c r="A21" s="34">
        <v>15</v>
      </c>
      <c r="B21" s="35">
        <v>34623737</v>
      </c>
      <c r="C21" s="73" t="s">
        <v>52</v>
      </c>
      <c r="D21" s="73"/>
      <c r="E21" s="73"/>
      <c r="F21" s="73"/>
      <c r="G21" s="73"/>
      <c r="H21" s="36">
        <v>2</v>
      </c>
      <c r="I21" s="36">
        <v>2</v>
      </c>
      <c r="J21" s="32"/>
    </row>
    <row r="22" spans="1:10" x14ac:dyDescent="0.25">
      <c r="A22" s="34">
        <v>16</v>
      </c>
      <c r="B22" s="35">
        <v>35211315</v>
      </c>
      <c r="C22" s="73" t="s">
        <v>53</v>
      </c>
      <c r="D22" s="73"/>
      <c r="E22" s="73"/>
      <c r="F22" s="73"/>
      <c r="G22" s="73"/>
      <c r="H22" s="36">
        <v>2</v>
      </c>
      <c r="I22" s="36">
        <v>2</v>
      </c>
      <c r="J22" s="32"/>
    </row>
    <row r="37" spans="3:5" x14ac:dyDescent="0.25">
      <c r="C37" t="str">
        <f>UPPER(C7)</f>
        <v>GONZÁLEZ VALLENILLA SEBASTIÁN JOSÉ</v>
      </c>
    </row>
    <row r="38" spans="3:5" x14ac:dyDescent="0.25">
      <c r="C38" s="1" t="str">
        <f t="shared" ref="C38:C57" si="0">UPPER(C8)</f>
        <v>GONZÁLEZ VALLENILLA SANTIAGO ALEJANDRO</v>
      </c>
      <c r="D38" s="1"/>
      <c r="E38" s="1"/>
    </row>
    <row r="39" spans="3:5" x14ac:dyDescent="0.25">
      <c r="C39" s="1" t="str">
        <f t="shared" si="0"/>
        <v>CHACOA SOSA VENEZIA</v>
      </c>
      <c r="D39" s="1"/>
      <c r="E39" s="1"/>
    </row>
    <row r="40" spans="3:5" x14ac:dyDescent="0.25">
      <c r="C40" s="1" t="str">
        <f t="shared" si="0"/>
        <v>JIMÉNEZ MORALES VÍCTOR SAMUEL</v>
      </c>
      <c r="D40" s="1"/>
      <c r="E40" s="1"/>
    </row>
    <row r="41" spans="3:5" x14ac:dyDescent="0.25">
      <c r="C41" s="1" t="str">
        <f t="shared" si="0"/>
        <v>SANTIAGO FIGUEROA ANDRES EMILIO</v>
      </c>
      <c r="D41" s="1"/>
      <c r="E41" s="1"/>
    </row>
    <row r="42" spans="3:5" x14ac:dyDescent="0.25">
      <c r="C42" s="1" t="str">
        <f t="shared" si="0"/>
        <v>VELÁSQUEZ GUERRA FRANCISCO ALEJANDRO</v>
      </c>
      <c r="D42" s="1"/>
      <c r="E42" s="1"/>
    </row>
    <row r="43" spans="3:5" x14ac:dyDescent="0.25">
      <c r="C43" s="1" t="str">
        <f t="shared" si="0"/>
        <v>CANELON CENTENO MAXIMILIANO</v>
      </c>
      <c r="D43" s="1"/>
      <c r="E43" s="1"/>
    </row>
    <row r="44" spans="3:5" x14ac:dyDescent="0.25">
      <c r="C44" s="1" t="str">
        <f t="shared" si="0"/>
        <v>HERNANDEZ RUIZ JESUS RAMON</v>
      </c>
      <c r="D44" s="1"/>
      <c r="E44" s="1"/>
    </row>
    <row r="45" spans="3:5" x14ac:dyDescent="0.25">
      <c r="C45" s="1" t="str">
        <f t="shared" si="0"/>
        <v>ROJAS RODRÍGUEZ MICHELYS DE LOS ANGELES</v>
      </c>
      <c r="D45" s="1"/>
      <c r="E45" s="1"/>
    </row>
    <row r="46" spans="3:5" x14ac:dyDescent="0.25">
      <c r="C46" s="1" t="str">
        <f t="shared" si="0"/>
        <v>CARABALLO CABELLO VICTORIA SOFÍA</v>
      </c>
      <c r="D46" s="1"/>
      <c r="E46" s="1"/>
    </row>
    <row r="47" spans="3:5" x14ac:dyDescent="0.25">
      <c r="C47" s="1" t="str">
        <f t="shared" si="0"/>
        <v>RODRÍGUEZ BOLIVAR DARYANA DE LOS ANGELES</v>
      </c>
      <c r="D47" s="1"/>
      <c r="E47" s="1"/>
    </row>
    <row r="48" spans="3:5" x14ac:dyDescent="0.25">
      <c r="C48" s="1" t="str">
        <f t="shared" si="0"/>
        <v>ANTÓN RODRÍGUEZ JOSÉ GABRIEL</v>
      </c>
      <c r="D48" s="1"/>
      <c r="E48" s="1"/>
    </row>
    <row r="49" spans="3:5" x14ac:dyDescent="0.25">
      <c r="C49" s="1" t="str">
        <f t="shared" si="0"/>
        <v>FUENTES MOSQUEDA FABIANA VALENTINA</v>
      </c>
      <c r="D49" s="1"/>
      <c r="E49" s="1"/>
    </row>
    <row r="50" spans="3:5" x14ac:dyDescent="0.25">
      <c r="C50" s="1" t="str">
        <f t="shared" si="0"/>
        <v>MARTÍNEZ CABRERA CESAR ERNESTO</v>
      </c>
      <c r="D50" s="1"/>
      <c r="E50" s="1"/>
    </row>
    <row r="51" spans="3:5" x14ac:dyDescent="0.25">
      <c r="C51" s="1" t="str">
        <f t="shared" si="0"/>
        <v>ABBOUD LEANDRO FRANCISCO AZIZ</v>
      </c>
      <c r="D51" s="1"/>
      <c r="E51" s="1"/>
    </row>
    <row r="52" spans="3:5" x14ac:dyDescent="0.25">
      <c r="C52" s="1" t="str">
        <f t="shared" si="0"/>
        <v>RODRÍGUEZ BENÍTEZ LUCIANO ALESSANDRO</v>
      </c>
      <c r="D52" s="1"/>
      <c r="E52" s="1"/>
    </row>
    <row r="53" spans="3:5" x14ac:dyDescent="0.25">
      <c r="C53" s="1" t="str">
        <f t="shared" si="0"/>
        <v/>
      </c>
      <c r="D53" s="1"/>
      <c r="E53" s="1"/>
    </row>
    <row r="54" spans="3:5" x14ac:dyDescent="0.25">
      <c r="C54" s="1" t="str">
        <f t="shared" si="0"/>
        <v/>
      </c>
      <c r="D54" s="1"/>
      <c r="E54" s="1"/>
    </row>
    <row r="55" spans="3:5" x14ac:dyDescent="0.25">
      <c r="C55" s="1" t="str">
        <f t="shared" si="0"/>
        <v/>
      </c>
      <c r="D55" s="1"/>
      <c r="E55" s="1"/>
    </row>
    <row r="56" spans="3:5" x14ac:dyDescent="0.25">
      <c r="C56" s="1" t="str">
        <f t="shared" si="0"/>
        <v/>
      </c>
      <c r="D56" s="1"/>
      <c r="E56" s="1"/>
    </row>
    <row r="57" spans="3:5" x14ac:dyDescent="0.25">
      <c r="C57" s="1" t="str">
        <f t="shared" si="0"/>
        <v/>
      </c>
      <c r="D57" s="1"/>
      <c r="E57" s="1"/>
    </row>
  </sheetData>
  <mergeCells count="17">
    <mergeCell ref="C17:G17"/>
    <mergeCell ref="C16:G16"/>
    <mergeCell ref="C22:G22"/>
    <mergeCell ref="C21:G21"/>
    <mergeCell ref="C20:G20"/>
    <mergeCell ref="C19:G19"/>
    <mergeCell ref="C18:G18"/>
    <mergeCell ref="C6:G6"/>
    <mergeCell ref="C15:G15"/>
    <mergeCell ref="C14:G14"/>
    <mergeCell ref="C13:G13"/>
    <mergeCell ref="C12:G12"/>
    <mergeCell ref="C11:G11"/>
    <mergeCell ref="C10:G10"/>
    <mergeCell ref="C9:G9"/>
    <mergeCell ref="C8:G8"/>
    <mergeCell ref="C7:G7"/>
  </mergeCells>
  <conditionalFormatting sqref="H7:I22 J7">
    <cfRule type="iconSet" priority="1">
      <iconSet iconSet="3Symbols2" showValue="0">
        <cfvo type="percent" val="0"/>
        <cfvo type="num" val="0" gte="0"/>
        <cfvo type="num" val="2"/>
      </iconSet>
    </cfRule>
  </conditionalFormatting>
  <hyperlinks>
    <hyperlink ref="C7:G7" location="SEBASTIAN!Área_de_impresión" display="GONZÁLEZ VALLENILLA SEBASTIÁN JOSÉ"/>
    <hyperlink ref="C8:G8" location="SANTIAGO!Área_de_impresión" display="GONZÁLEZ VALLENILLA SANTIAGO ALEJANDRO"/>
    <hyperlink ref="C10:G10" location="VICTOR!Área_de_impresión" display="JIMÉNEZ MORALES VÍCTOR SAMUEL"/>
    <hyperlink ref="C12:G12" location="FRANCISCO!Área_de_impresión" display="VELÁSQUEZ GUERRA FRANCISCO ALEJANDRO"/>
    <hyperlink ref="C13:G13" location="MAXIMILIANO!Área_de_impresión" display="CANELON CENTENO MAXIMILIANO"/>
    <hyperlink ref="C14:G14" location="JESUS!Área_de_impresión" display="HERNANDEZ RUIZ JESUS RAMON"/>
    <hyperlink ref="C15:G15" location="ROJAS!Área_de_impresión" display="ROJAS RODRÍGUEZ MICHELYS DE LOS ANGELES"/>
    <hyperlink ref="C16:G16" location="VICTORIA!Área_de_impresión" display="CARABALLO CABELLO VICTORIA SOFÍA"/>
    <hyperlink ref="C17:G17" location="DARYA!Área_de_impresión" display="RODRÍGUEZ BOLIVAR DARYANA DE LOS ANGELES"/>
    <hyperlink ref="C18:G18" location="JOSE!Área_de_impresión" display="ANTÓN RODRÍGUEZ JOSÉ GABRIEL"/>
    <hyperlink ref="C19:G19" location="FABIANA!Área_de_impresión" display="FUENTES MOSQUEDA FABIANA VALENTINA"/>
    <hyperlink ref="C20:G20" location="CESAR!Área_de_impresión" display="MARTÍNEZ CABRERA CESAR ERNESTO"/>
    <hyperlink ref="C21:G21" location="ABBOUD!Área_de_impresión" display="ABBOUD LEANDRO FRANCISCO AZIZ"/>
    <hyperlink ref="C22:G22" location="LUCIANO!Área_de_impresión" display="RODRÍGUEZ BENÍTEZ LUCIANO ALESSANDRO"/>
    <hyperlink ref="C11:G11" location="ANDRES!Área_de_impresión" display="SANTIAGO FIGUEROA ANDRES EMILIO"/>
    <hyperlink ref="C9:G9" location="VENEZIA!Área_de_impresión" display="CHACOA SOSA VENEZI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showGridLines="0" tabSelected="1" view="pageLayout" topLeftCell="A2" zoomScale="80" zoomScaleNormal="80" zoomScaleSheetLayoutView="90" zoomScalePageLayoutView="80" workbookViewId="0">
      <selection activeCell="A5" sqref="A5:S5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2851562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62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35007405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4" t="s">
        <v>54</v>
      </c>
      <c r="H12" s="84"/>
      <c r="I12" s="84"/>
      <c r="J12" s="84"/>
      <c r="K12" s="84"/>
      <c r="L12" s="84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41457</v>
      </c>
      <c r="H13" s="86"/>
      <c r="I13" s="86"/>
      <c r="J13" s="86"/>
      <c r="K13" s="86"/>
      <c r="L13" s="86"/>
      <c r="M13" s="3" t="s">
        <v>6</v>
      </c>
      <c r="N13" s="88" t="s">
        <v>59</v>
      </c>
      <c r="O13" s="88"/>
      <c r="P13" s="6" t="s">
        <v>7</v>
      </c>
      <c r="Q13" s="6"/>
      <c r="R13" s="57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63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88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11">
        <f>'[1]1er Año U '!$E$11</f>
        <v>18</v>
      </c>
      <c r="K19" s="112"/>
      <c r="L19" s="112"/>
      <c r="M19" s="113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11">
        <f>'[1]1er Año U '!$J$11</f>
        <v>19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11">
        <f>'[1]1er Año U '!$O$11</f>
        <v>18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11">
        <f>'[1]1er Año U '!$T$11</f>
        <v>19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11">
        <f>'[1]1er Año U '!$Y$11</f>
        <v>18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11">
        <f>'[1]1er Año U '!$AD$11</f>
        <v>19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11">
        <f>'[1]1er Año U '!$AI$11</f>
        <v>18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15</v>
      </c>
      <c r="K26" s="112"/>
      <c r="L26" s="112"/>
      <c r="M26" s="113"/>
      <c r="N26" s="133"/>
      <c r="O26" s="112"/>
      <c r="P26" s="112"/>
      <c r="Q26" s="113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18.428571428571427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v>20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>
        <v>16</v>
      </c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G11:M11"/>
    <mergeCell ref="N12:O12"/>
    <mergeCell ref="K14:R14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16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71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36009495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41399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72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'!$E$12</f>
        <v>13</v>
      </c>
      <c r="K19" s="117"/>
      <c r="L19" s="117"/>
      <c r="M19" s="118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'!$J$12</f>
        <v>15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'!$O$12</f>
        <v>13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'!$T$12</f>
        <v>17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'!$Y$12</f>
        <v>14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'!$AD$12</f>
        <v>15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'!$AI$12</f>
        <v>13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11</v>
      </c>
      <c r="K26" s="112"/>
      <c r="L26" s="112"/>
      <c r="M26" s="113"/>
      <c r="N26" s="133"/>
      <c r="O26" s="112"/>
      <c r="P26" s="112"/>
      <c r="Q26" s="113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14.285714285714286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f>'[1]1er Año U '!$AN$12</f>
        <v>17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>
        <v>15</v>
      </c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30208333333333331" bottom="0.43307086614173229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64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36009495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41596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65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'!$E$13</f>
        <v>13</v>
      </c>
      <c r="K19" s="117"/>
      <c r="L19" s="117"/>
      <c r="M19" s="118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'!$J$13</f>
        <v>15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'!$O$13</f>
        <v>18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'!$T$13</f>
        <v>18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'!$Y$13</f>
        <v>16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'!$AD$13</f>
        <v>13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'!$AI$13</f>
        <v>13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16</v>
      </c>
      <c r="K26" s="112"/>
      <c r="L26" s="112"/>
      <c r="M26" s="113"/>
      <c r="N26" s="133"/>
      <c r="O26" s="112"/>
      <c r="P26" s="112"/>
      <c r="Q26" s="113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15.142857142857142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f>'[1]1er Año U '!$AN$13</f>
        <v>19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/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30208333333333331" bottom="0.43307086614173229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73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36037934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41588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83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'!$E$14</f>
        <v>19</v>
      </c>
      <c r="K19" s="117"/>
      <c r="L19" s="117"/>
      <c r="M19" s="118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'!$J$14</f>
        <v>20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'!$O$14</f>
        <v>19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'!$T$14</f>
        <v>19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'!$Y$14</f>
        <v>19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'!$AD$14</f>
        <v>20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'!$AI$14</f>
        <v>20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16</v>
      </c>
      <c r="K26" s="112"/>
      <c r="L26" s="112"/>
      <c r="M26" s="113"/>
      <c r="N26" s="133"/>
      <c r="O26" s="112"/>
      <c r="P26" s="112"/>
      <c r="Q26" s="113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19.428571428571427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v>20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>
        <v>20</v>
      </c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28125" bottom="0.43307086614173229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84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66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36050740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67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41237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20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74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'!$E$15</f>
        <v>15</v>
      </c>
      <c r="K19" s="117"/>
      <c r="L19" s="117"/>
      <c r="M19" s="118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'!$J$15</f>
        <v>17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'!$O$15</f>
        <v>15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'!$T$15</f>
        <v>19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'!$Y$15</f>
        <v>17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'!$AD$15</f>
        <v>17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'!$AI$15</f>
        <v>18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15</v>
      </c>
      <c r="K26" s="112"/>
      <c r="L26" s="112"/>
      <c r="M26" s="113"/>
      <c r="N26" s="133"/>
      <c r="O26" s="112"/>
      <c r="P26" s="112"/>
      <c r="Q26" s="113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16.857142857142858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f>'[1]1er Año U '!$AN$15</f>
        <v>20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>
        <v>20</v>
      </c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28125" bottom="0.43307086614173229" header="0.31496062992125984" footer="0.31496062992125984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zoomScale="86" zoomScaleNormal="100" zoomScalePageLayoutView="86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68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36150125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4" t="s">
        <v>54</v>
      </c>
      <c r="H12" s="84"/>
      <c r="I12" s="84"/>
      <c r="J12" s="84"/>
      <c r="K12" s="84"/>
      <c r="L12" s="84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41556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69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61">
        <f>'[1]1er Año U '!$E$16</f>
        <v>16</v>
      </c>
      <c r="K19" s="84"/>
      <c r="L19" s="84"/>
      <c r="M19" s="162"/>
      <c r="N19" s="84"/>
      <c r="O19" s="84"/>
      <c r="P19" s="84"/>
      <c r="Q19" s="162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59">
        <f>'[1]1er Año U '!$J$16</f>
        <v>17</v>
      </c>
      <c r="K20" s="86"/>
      <c r="L20" s="86"/>
      <c r="M20" s="160"/>
      <c r="N20" s="86"/>
      <c r="O20" s="86"/>
      <c r="P20" s="86"/>
      <c r="Q20" s="160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59">
        <f>'[1]1er Año U '!$O$16</f>
        <v>13</v>
      </c>
      <c r="K21" s="86"/>
      <c r="L21" s="86"/>
      <c r="M21" s="160"/>
      <c r="N21" s="86"/>
      <c r="O21" s="86"/>
      <c r="P21" s="86"/>
      <c r="Q21" s="160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59">
        <f>'[1]1er Año U '!$T$16</f>
        <v>19</v>
      </c>
      <c r="K22" s="86"/>
      <c r="L22" s="86"/>
      <c r="M22" s="160"/>
      <c r="N22" s="86"/>
      <c r="O22" s="86"/>
      <c r="P22" s="86"/>
      <c r="Q22" s="160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59">
        <f>'[1]1er Año U '!$Y$16</f>
        <v>17</v>
      </c>
      <c r="K23" s="86"/>
      <c r="L23" s="86"/>
      <c r="M23" s="160"/>
      <c r="N23" s="86"/>
      <c r="O23" s="86"/>
      <c r="P23" s="86"/>
      <c r="Q23" s="160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59">
        <f>'[1]1er Año U '!$AD$16</f>
        <v>16</v>
      </c>
      <c r="K24" s="86"/>
      <c r="L24" s="86"/>
      <c r="M24" s="160"/>
      <c r="N24" s="86"/>
      <c r="O24" s="86"/>
      <c r="P24" s="86"/>
      <c r="Q24" s="160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59">
        <f>'[1]1er Año U '!$AI$16</f>
        <v>15</v>
      </c>
      <c r="K25" s="86"/>
      <c r="L25" s="86"/>
      <c r="M25" s="160"/>
      <c r="N25" s="86"/>
      <c r="O25" s="86"/>
      <c r="P25" s="86"/>
      <c r="Q25" s="160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59">
        <v>15</v>
      </c>
      <c r="K26" s="86"/>
      <c r="L26" s="86"/>
      <c r="M26" s="160"/>
      <c r="N26" s="159"/>
      <c r="O26" s="86"/>
      <c r="P26" s="86"/>
      <c r="Q26" s="160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63">
        <f>AVERAGE(J19:M25)</f>
        <v>16.142857142857142</v>
      </c>
      <c r="K27" s="164"/>
      <c r="L27" s="164"/>
      <c r="M27" s="165"/>
      <c r="N27" s="166"/>
      <c r="O27" s="166"/>
      <c r="P27" s="166"/>
      <c r="Q27" s="167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71" t="s">
        <v>29</v>
      </c>
      <c r="K29" s="172"/>
      <c r="L29" s="172"/>
      <c r="M29" s="173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68"/>
      <c r="K30" s="169"/>
      <c r="L30" s="169"/>
      <c r="M30" s="170"/>
      <c r="N30" s="169"/>
      <c r="O30" s="169"/>
      <c r="P30" s="169"/>
      <c r="Q30" s="170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76"/>
      <c r="K31" s="174"/>
      <c r="L31" s="174"/>
      <c r="M31" s="175"/>
      <c r="N31" s="174"/>
      <c r="O31" s="174"/>
      <c r="P31" s="174"/>
      <c r="Q31" s="175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1:M11"/>
    <mergeCell ref="G13:L13"/>
    <mergeCell ref="N13:O13"/>
    <mergeCell ref="M15:O15"/>
    <mergeCell ref="G15:L15"/>
    <mergeCell ref="N11:O11"/>
    <mergeCell ref="N12:O12"/>
    <mergeCell ref="K14:R14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26647286821705424" bottom="0.43307086614173229" header="0.31496062992125984" footer="0.31496062992125984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3" x14ac:dyDescent="0.25">
      <c r="A2" s="4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6"/>
    </row>
    <row r="3" spans="1:23" x14ac:dyDescent="0.25">
      <c r="A3" s="4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6"/>
    </row>
    <row r="4" spans="1:23" ht="7.5" customHeight="1" x14ac:dyDescent="0.25">
      <c r="A4" s="4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6"/>
    </row>
    <row r="5" spans="1:23" ht="20.25" customHeight="1" x14ac:dyDescent="0.25">
      <c r="A5" s="177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178"/>
    </row>
    <row r="6" spans="1:23" ht="18.75" customHeight="1" x14ac:dyDescent="0.25">
      <c r="A6" s="179" t="s">
        <v>86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180"/>
      <c r="T6" s="2"/>
      <c r="U6" s="2"/>
      <c r="V6" s="2"/>
      <c r="W6" s="2"/>
    </row>
    <row r="7" spans="1:23" ht="15.75" customHeight="1" x14ac:dyDescent="0.25">
      <c r="A7" s="4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7"/>
      <c r="T7" s="81"/>
      <c r="U7" s="81"/>
      <c r="V7" s="81"/>
      <c r="W7" s="81"/>
    </row>
    <row r="8" spans="1:23" ht="31.5" customHeight="1" x14ac:dyDescent="0.25">
      <c r="A8" s="4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6"/>
      <c r="T8" s="82"/>
      <c r="U8" s="82"/>
      <c r="V8" s="82"/>
      <c r="W8" s="82"/>
    </row>
    <row r="9" spans="1:23" ht="18" customHeight="1" x14ac:dyDescent="0.25">
      <c r="A9" s="4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46"/>
      <c r="T9" s="83"/>
      <c r="U9" s="83"/>
      <c r="V9" s="83"/>
      <c r="W9" s="56"/>
    </row>
    <row r="10" spans="1:23" ht="3.75" customHeight="1" x14ac:dyDescent="0.25">
      <c r="A10" s="4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46"/>
      <c r="T10" s="83"/>
      <c r="U10" s="83"/>
      <c r="V10" s="83"/>
      <c r="W10" s="7"/>
    </row>
    <row r="11" spans="1:23" ht="21" customHeight="1" x14ac:dyDescent="0.25">
      <c r="A11" s="45"/>
      <c r="B11" s="3" t="s">
        <v>2</v>
      </c>
      <c r="C11" s="3"/>
      <c r="D11" s="3"/>
      <c r="E11" s="3"/>
      <c r="F11" s="3"/>
      <c r="G11" s="91" t="s">
        <v>70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36199582</v>
      </c>
      <c r="Q11" s="84"/>
      <c r="R11" s="84"/>
      <c r="S11" s="47"/>
      <c r="T11" s="85"/>
      <c r="U11" s="85"/>
      <c r="V11" s="85"/>
      <c r="W11" s="85"/>
    </row>
    <row r="12" spans="1:23" ht="21" customHeight="1" x14ac:dyDescent="0.25">
      <c r="A12" s="45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14</v>
      </c>
      <c r="Q12" s="86"/>
      <c r="R12" s="86"/>
      <c r="S12" s="48"/>
      <c r="T12" s="83"/>
      <c r="U12" s="83"/>
      <c r="V12" s="83"/>
      <c r="W12" s="83"/>
    </row>
    <row r="13" spans="1:23" ht="21" customHeight="1" x14ac:dyDescent="0.25">
      <c r="A13" s="45"/>
      <c r="B13" s="4" t="s">
        <v>5</v>
      </c>
      <c r="C13" s="3"/>
      <c r="D13" s="5"/>
      <c r="E13" s="5"/>
      <c r="F13" s="5"/>
      <c r="G13" s="87">
        <v>40769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47"/>
      <c r="T13" s="56"/>
      <c r="U13" s="56"/>
      <c r="V13" s="56"/>
      <c r="W13" s="56"/>
    </row>
    <row r="14" spans="1:23" ht="21" customHeight="1" x14ac:dyDescent="0.25">
      <c r="A14" s="45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58</v>
      </c>
      <c r="L14" s="84"/>
      <c r="M14" s="84"/>
      <c r="N14" s="84"/>
      <c r="O14" s="84"/>
      <c r="P14" s="84"/>
      <c r="Q14" s="84"/>
      <c r="R14" s="84"/>
      <c r="S14" s="49"/>
    </row>
    <row r="15" spans="1:23" ht="21" customHeight="1" x14ac:dyDescent="0.25">
      <c r="A15" s="45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49"/>
    </row>
    <row r="16" spans="1:23" ht="29.25" customHeight="1" thickBot="1" x14ac:dyDescent="0.3">
      <c r="A16" s="50"/>
      <c r="B16" s="4"/>
      <c r="C16" s="4"/>
      <c r="D16" s="4"/>
      <c r="E16" s="4"/>
      <c r="F16" s="4"/>
      <c r="G16" s="92"/>
      <c r="H16" s="92"/>
      <c r="I16" s="66"/>
      <c r="J16" s="4"/>
      <c r="K16" s="4"/>
      <c r="L16" s="4"/>
      <c r="M16" s="5"/>
      <c r="N16" s="5"/>
      <c r="O16" s="5"/>
      <c r="P16" s="5"/>
      <c r="Q16" s="5"/>
      <c r="R16" s="5"/>
      <c r="S16" s="51"/>
      <c r="T16" s="93"/>
      <c r="U16" s="93"/>
      <c r="V16" s="85"/>
      <c r="W16" s="85"/>
    </row>
    <row r="17" spans="1:23" ht="31.5" customHeight="1" thickTop="1" thickBot="1" x14ac:dyDescent="0.3">
      <c r="A17" s="50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52"/>
      <c r="T17" s="9"/>
      <c r="U17" s="9"/>
      <c r="V17" s="85"/>
      <c r="W17" s="85"/>
    </row>
    <row r="18" spans="1:23" ht="31.5" customHeight="1" thickTop="1" thickBot="1" x14ac:dyDescent="0.3">
      <c r="A18" s="50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51"/>
      <c r="T18" s="93"/>
      <c r="U18" s="93"/>
      <c r="V18" s="85"/>
      <c r="W18" s="85"/>
    </row>
    <row r="19" spans="1:23" ht="23.25" customHeight="1" thickTop="1" x14ac:dyDescent="0.25">
      <c r="A19" s="45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'!$E$17</f>
        <v>14</v>
      </c>
      <c r="K19" s="117"/>
      <c r="L19" s="117"/>
      <c r="M19" s="118"/>
      <c r="N19" s="117"/>
      <c r="O19" s="117"/>
      <c r="P19" s="117"/>
      <c r="Q19" s="118"/>
      <c r="R19" s="2"/>
      <c r="S19" s="46"/>
      <c r="T19" s="93"/>
      <c r="U19" s="93"/>
      <c r="V19" s="85"/>
      <c r="W19" s="85"/>
    </row>
    <row r="20" spans="1:23" ht="23.25" customHeight="1" x14ac:dyDescent="0.25">
      <c r="A20" s="45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'!$J$17</f>
        <v>14</v>
      </c>
      <c r="K20" s="112"/>
      <c r="L20" s="112"/>
      <c r="M20" s="113"/>
      <c r="N20" s="112"/>
      <c r="O20" s="112"/>
      <c r="P20" s="112"/>
      <c r="Q20" s="113"/>
      <c r="R20" s="2"/>
      <c r="S20" s="46"/>
      <c r="T20" s="93"/>
      <c r="U20" s="93"/>
      <c r="V20" s="85"/>
      <c r="W20" s="85"/>
    </row>
    <row r="21" spans="1:23" ht="23.25" customHeight="1" x14ac:dyDescent="0.25">
      <c r="A21" s="45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'!$O$17</f>
        <v>5</v>
      </c>
      <c r="K21" s="112"/>
      <c r="L21" s="112"/>
      <c r="M21" s="113"/>
      <c r="N21" s="112"/>
      <c r="O21" s="112"/>
      <c r="P21" s="112"/>
      <c r="Q21" s="113"/>
      <c r="R21" s="2"/>
      <c r="S21" s="46"/>
      <c r="T21" s="93"/>
      <c r="U21" s="93"/>
      <c r="V21" s="85"/>
      <c r="W21" s="85"/>
    </row>
    <row r="22" spans="1:23" ht="23.25" customHeight="1" x14ac:dyDescent="0.25">
      <c r="A22" s="45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'!$T$17</f>
        <v>16</v>
      </c>
      <c r="K22" s="112"/>
      <c r="L22" s="112"/>
      <c r="M22" s="113"/>
      <c r="N22" s="112"/>
      <c r="O22" s="112"/>
      <c r="P22" s="112"/>
      <c r="Q22" s="113"/>
      <c r="R22" s="2"/>
      <c r="S22" s="46"/>
      <c r="T22" s="93"/>
      <c r="U22" s="93"/>
      <c r="V22" s="85"/>
      <c r="W22" s="85"/>
    </row>
    <row r="23" spans="1:23" ht="23.25" customHeight="1" x14ac:dyDescent="0.25">
      <c r="A23" s="45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'!$Y$17</f>
        <v>13</v>
      </c>
      <c r="K23" s="112"/>
      <c r="L23" s="112"/>
      <c r="M23" s="113"/>
      <c r="N23" s="112"/>
      <c r="O23" s="112"/>
      <c r="P23" s="112"/>
      <c r="Q23" s="113"/>
      <c r="R23" s="2"/>
      <c r="S23" s="46"/>
      <c r="T23" s="93"/>
      <c r="U23" s="93"/>
      <c r="V23" s="85"/>
      <c r="W23" s="85"/>
    </row>
    <row r="24" spans="1:23" ht="23.25" customHeight="1" x14ac:dyDescent="0.25">
      <c r="A24" s="45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'!$AD$17</f>
        <v>12</v>
      </c>
      <c r="K24" s="112"/>
      <c r="L24" s="112"/>
      <c r="M24" s="113"/>
      <c r="N24" s="112"/>
      <c r="O24" s="112"/>
      <c r="P24" s="112"/>
      <c r="Q24" s="113"/>
      <c r="R24" s="2"/>
      <c r="S24" s="46"/>
      <c r="T24" s="119"/>
      <c r="U24" s="119"/>
      <c r="V24" s="85"/>
      <c r="W24" s="85"/>
    </row>
    <row r="25" spans="1:23" ht="23.25" customHeight="1" x14ac:dyDescent="0.25">
      <c r="A25" s="45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'!$AI$17</f>
        <v>11</v>
      </c>
      <c r="K25" s="112"/>
      <c r="L25" s="112"/>
      <c r="M25" s="113"/>
      <c r="N25" s="112"/>
      <c r="O25" s="112"/>
      <c r="P25" s="112"/>
      <c r="Q25" s="113"/>
      <c r="R25" s="2"/>
      <c r="S25" s="46"/>
      <c r="T25" s="123"/>
      <c r="U25" s="123"/>
      <c r="V25" s="123"/>
      <c r="W25" s="123"/>
    </row>
    <row r="26" spans="1:23" ht="23.25" customHeight="1" x14ac:dyDescent="0.25">
      <c r="A26" s="45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11</v>
      </c>
      <c r="K26" s="112"/>
      <c r="L26" s="112"/>
      <c r="M26" s="113"/>
      <c r="N26" s="133"/>
      <c r="O26" s="112"/>
      <c r="P26" s="112"/>
      <c r="Q26" s="113"/>
      <c r="R26" s="2"/>
      <c r="S26" s="46"/>
      <c r="T26" s="59"/>
      <c r="U26" s="59"/>
      <c r="V26" s="59"/>
      <c r="W26" s="59"/>
    </row>
    <row r="27" spans="1:23" ht="23.25" customHeight="1" thickBot="1" x14ac:dyDescent="0.3">
      <c r="A27" s="45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12.142857142857142</v>
      </c>
      <c r="K27" s="128"/>
      <c r="L27" s="128"/>
      <c r="M27" s="129"/>
      <c r="N27" s="130"/>
      <c r="O27" s="130"/>
      <c r="P27" s="130"/>
      <c r="Q27" s="131"/>
      <c r="R27" s="2"/>
      <c r="S27" s="46"/>
      <c r="T27" s="132"/>
      <c r="U27" s="132"/>
      <c r="V27" s="132"/>
      <c r="W27" s="132"/>
    </row>
    <row r="28" spans="1:23" ht="6" customHeight="1" thickTop="1" thickBot="1" x14ac:dyDescent="0.3">
      <c r="A28" s="45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46"/>
      <c r="T28" s="132"/>
      <c r="U28" s="132"/>
      <c r="V28" s="132"/>
      <c r="W28" s="132"/>
    </row>
    <row r="29" spans="1:23" ht="23.25" customHeight="1" thickTop="1" thickBot="1" x14ac:dyDescent="0.3">
      <c r="A29" s="45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46"/>
      <c r="T29" s="58"/>
      <c r="U29" s="58"/>
      <c r="V29" s="58"/>
      <c r="W29" s="58"/>
    </row>
    <row r="30" spans="1:23" ht="23.25" customHeight="1" thickTop="1" x14ac:dyDescent="0.25">
      <c r="A30" s="45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f>'[1]1er Año U '!$AN$17</f>
        <v>16</v>
      </c>
      <c r="K30" s="138"/>
      <c r="L30" s="138"/>
      <c r="M30" s="139"/>
      <c r="N30" s="138"/>
      <c r="O30" s="138"/>
      <c r="P30" s="138"/>
      <c r="Q30" s="139"/>
      <c r="R30" s="2"/>
      <c r="S30" s="46"/>
      <c r="T30" s="132"/>
      <c r="U30" s="132"/>
      <c r="V30" s="132"/>
      <c r="W30" s="132"/>
    </row>
    <row r="31" spans="1:23" ht="27" customHeight="1" thickBot="1" x14ac:dyDescent="0.3">
      <c r="A31" s="45"/>
      <c r="B31" s="2"/>
      <c r="C31" s="152" t="s">
        <v>28</v>
      </c>
      <c r="D31" s="153"/>
      <c r="E31" s="153"/>
      <c r="F31" s="153"/>
      <c r="G31" s="154"/>
      <c r="H31" s="154"/>
      <c r="I31" s="155"/>
      <c r="J31" s="156"/>
      <c r="K31" s="148"/>
      <c r="L31" s="148"/>
      <c r="M31" s="149"/>
      <c r="N31" s="148"/>
      <c r="O31" s="148"/>
      <c r="P31" s="148"/>
      <c r="Q31" s="149"/>
      <c r="R31" s="2"/>
      <c r="S31" s="46"/>
      <c r="T31" s="132"/>
      <c r="U31" s="132"/>
      <c r="V31" s="132"/>
      <c r="W31" s="132"/>
    </row>
    <row r="32" spans="1:23" ht="42.75" customHeight="1" thickTop="1" x14ac:dyDescent="0.25">
      <c r="A32" s="45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46"/>
      <c r="T32" s="132"/>
      <c r="U32" s="132"/>
      <c r="V32" s="132"/>
      <c r="W32" s="132"/>
    </row>
    <row r="33" spans="1:19" ht="30" customHeight="1" thickBot="1" x14ac:dyDescent="0.3">
      <c r="A33" s="53"/>
      <c r="B33" s="54"/>
      <c r="C33" s="54"/>
      <c r="D33" s="54"/>
      <c r="E33" s="54"/>
      <c r="F33" s="54"/>
      <c r="G33" s="64"/>
      <c r="H33" s="64"/>
      <c r="I33" s="64"/>
      <c r="J33" s="65" t="s">
        <v>23</v>
      </c>
      <c r="K33" s="54"/>
      <c r="L33" s="54"/>
      <c r="M33" s="54"/>
      <c r="N33" s="54"/>
      <c r="O33" s="54"/>
      <c r="P33" s="54"/>
      <c r="Q33" s="54"/>
      <c r="R33" s="54"/>
      <c r="S33" s="5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G13:L13"/>
    <mergeCell ref="N13:O13"/>
    <mergeCell ref="K14:R14"/>
    <mergeCell ref="G15:L15"/>
    <mergeCell ref="M15:O15"/>
    <mergeCell ref="P15:R15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/>
  <pageMargins left="0.39370078740157483" right="0.39370078740157483" top="0.30208333333333331" bottom="0.43307086614173229" header="0.31496062992125984" footer="0.31496062992125984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84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75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36261106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11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 t="s">
        <v>85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76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61">
        <f>'[1]1er Año U '!$E$18</f>
        <v>16</v>
      </c>
      <c r="K19" s="84"/>
      <c r="L19" s="84"/>
      <c r="M19" s="162"/>
      <c r="N19" s="84"/>
      <c r="O19" s="84"/>
      <c r="P19" s="84"/>
      <c r="Q19" s="162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59">
        <f>'[1]1er Año U '!$J$18</f>
        <v>20</v>
      </c>
      <c r="K20" s="86"/>
      <c r="L20" s="86"/>
      <c r="M20" s="160"/>
      <c r="N20" s="86"/>
      <c r="O20" s="86"/>
      <c r="P20" s="86"/>
      <c r="Q20" s="160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59">
        <f>'[1]1er Año U '!$O$18</f>
        <v>19</v>
      </c>
      <c r="K21" s="86"/>
      <c r="L21" s="86"/>
      <c r="M21" s="160"/>
      <c r="N21" s="86"/>
      <c r="O21" s="86"/>
      <c r="P21" s="86"/>
      <c r="Q21" s="160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59">
        <f>'[1]1er Año U '!$T$18</f>
        <v>18</v>
      </c>
      <c r="K22" s="86"/>
      <c r="L22" s="86"/>
      <c r="M22" s="160"/>
      <c r="N22" s="86"/>
      <c r="O22" s="86"/>
      <c r="P22" s="86"/>
      <c r="Q22" s="160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59">
        <f>'[1]1er Año U '!$Y$18</f>
        <v>18</v>
      </c>
      <c r="K23" s="86"/>
      <c r="L23" s="86"/>
      <c r="M23" s="160"/>
      <c r="N23" s="86"/>
      <c r="O23" s="86"/>
      <c r="P23" s="86"/>
      <c r="Q23" s="160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59">
        <f>'[1]1er Año U '!$AD$18</f>
        <v>19</v>
      </c>
      <c r="K24" s="86"/>
      <c r="L24" s="86"/>
      <c r="M24" s="160"/>
      <c r="N24" s="86"/>
      <c r="O24" s="86"/>
      <c r="P24" s="86"/>
      <c r="Q24" s="160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59">
        <f>'[1]1er Año U '!$AI$18</f>
        <v>20</v>
      </c>
      <c r="K25" s="86"/>
      <c r="L25" s="86"/>
      <c r="M25" s="160"/>
      <c r="N25" s="86"/>
      <c r="O25" s="86"/>
      <c r="P25" s="86"/>
      <c r="Q25" s="160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59">
        <v>13</v>
      </c>
      <c r="K26" s="86"/>
      <c r="L26" s="86"/>
      <c r="M26" s="160"/>
      <c r="N26" s="159"/>
      <c r="O26" s="86"/>
      <c r="P26" s="86"/>
      <c r="Q26" s="160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63">
        <f>AVERAGE(J19:M25)</f>
        <v>18.571428571428573</v>
      </c>
      <c r="K27" s="164"/>
      <c r="L27" s="164"/>
      <c r="M27" s="165"/>
      <c r="N27" s="166"/>
      <c r="O27" s="166"/>
      <c r="P27" s="166"/>
      <c r="Q27" s="167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71" t="s">
        <v>29</v>
      </c>
      <c r="K29" s="172"/>
      <c r="L29" s="172"/>
      <c r="M29" s="173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68">
        <v>20</v>
      </c>
      <c r="K30" s="169"/>
      <c r="L30" s="169"/>
      <c r="M30" s="170"/>
      <c r="N30" s="169"/>
      <c r="O30" s="169"/>
      <c r="P30" s="169"/>
      <c r="Q30" s="170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76">
        <v>20</v>
      </c>
      <c r="K31" s="174"/>
      <c r="L31" s="174"/>
      <c r="M31" s="175"/>
      <c r="N31" s="174"/>
      <c r="O31" s="174"/>
      <c r="P31" s="174"/>
      <c r="Q31" s="175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23958333333333334" bottom="0.43307086614173229" header="0.31496062992125984" footer="0.31496062992125984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31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77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36333261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41334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31"/>
      <c r="U13" s="31"/>
      <c r="V13" s="31"/>
      <c r="W13" s="31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78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9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'!$E$19</f>
        <v>15</v>
      </c>
      <c r="K19" s="117"/>
      <c r="L19" s="117"/>
      <c r="M19" s="118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'!$J$19</f>
        <v>16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'!$O$19</f>
        <v>18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'!$Y$19</f>
        <v>16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'!$Y$19</f>
        <v>16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'!$AD$19</f>
        <v>14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'!$AI$19</f>
        <v>16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12</v>
      </c>
      <c r="K26" s="112"/>
      <c r="L26" s="112"/>
      <c r="M26" s="113"/>
      <c r="N26" s="133"/>
      <c r="O26" s="112"/>
      <c r="P26" s="112"/>
      <c r="Q26" s="113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15.857142857142858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30"/>
      <c r="U29" s="30"/>
      <c r="V29" s="30"/>
      <c r="W29" s="30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f>'[1]1er Año U '!$AN$19</f>
        <v>17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>
        <v>17</v>
      </c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T28:U28"/>
  </mergeCells>
  <printOptions horizontalCentered="1"/>
  <pageMargins left="0.39370078740157483" right="0.39370078740157483" top="0.20833333333333334" bottom="0.28125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84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79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36370625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41627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80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61">
        <f>'[1]1er Año U '!$E$20</f>
        <v>16</v>
      </c>
      <c r="K19" s="84"/>
      <c r="L19" s="84"/>
      <c r="M19" s="162"/>
      <c r="N19" s="84"/>
      <c r="O19" s="84"/>
      <c r="P19" s="84"/>
      <c r="Q19" s="162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59">
        <f>'[1]1er Año U '!$J$20</f>
        <v>17</v>
      </c>
      <c r="K20" s="86"/>
      <c r="L20" s="86"/>
      <c r="M20" s="160"/>
      <c r="N20" s="86"/>
      <c r="O20" s="86"/>
      <c r="P20" s="86"/>
      <c r="Q20" s="160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59">
        <f>'[1]1er Año U '!$O$20</f>
        <v>13</v>
      </c>
      <c r="K21" s="86"/>
      <c r="L21" s="86"/>
      <c r="M21" s="160"/>
      <c r="N21" s="86"/>
      <c r="O21" s="86"/>
      <c r="P21" s="86"/>
      <c r="Q21" s="160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59">
        <f>'[1]1er Año U '!$T$20</f>
        <v>18</v>
      </c>
      <c r="K22" s="86"/>
      <c r="L22" s="86"/>
      <c r="M22" s="160"/>
      <c r="N22" s="86"/>
      <c r="O22" s="86"/>
      <c r="P22" s="86"/>
      <c r="Q22" s="160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59">
        <f>'[1]1er Año U '!$Y$20</f>
        <v>13</v>
      </c>
      <c r="K23" s="86"/>
      <c r="L23" s="86"/>
      <c r="M23" s="160"/>
      <c r="N23" s="86"/>
      <c r="O23" s="86"/>
      <c r="P23" s="86"/>
      <c r="Q23" s="160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59">
        <f>'[1]1er Año U '!$AD$20</f>
        <v>17</v>
      </c>
      <c r="K24" s="86"/>
      <c r="L24" s="86"/>
      <c r="M24" s="160"/>
      <c r="N24" s="86"/>
      <c r="O24" s="86"/>
      <c r="P24" s="86"/>
      <c r="Q24" s="160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59">
        <f>'[1]1er Año U '!$AI$20</f>
        <v>15</v>
      </c>
      <c r="K25" s="86"/>
      <c r="L25" s="86"/>
      <c r="M25" s="160"/>
      <c r="N25" s="86"/>
      <c r="O25" s="86"/>
      <c r="P25" s="86"/>
      <c r="Q25" s="160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59">
        <v>13</v>
      </c>
      <c r="K26" s="86"/>
      <c r="L26" s="86"/>
      <c r="M26" s="160"/>
      <c r="N26" s="159"/>
      <c r="O26" s="86"/>
      <c r="P26" s="86"/>
      <c r="Q26" s="160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63">
        <f>AVERAGE(J19:M25)</f>
        <v>15.571428571428571</v>
      </c>
      <c r="K27" s="164"/>
      <c r="L27" s="164"/>
      <c r="M27" s="165"/>
      <c r="N27" s="166"/>
      <c r="O27" s="166"/>
      <c r="P27" s="166"/>
      <c r="Q27" s="167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71" t="s">
        <v>29</v>
      </c>
      <c r="K29" s="172"/>
      <c r="L29" s="172"/>
      <c r="M29" s="173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68">
        <f>'[1]1er Año U '!$AN$20</f>
        <v>20</v>
      </c>
      <c r="K30" s="169"/>
      <c r="L30" s="169"/>
      <c r="M30" s="170"/>
      <c r="N30" s="169"/>
      <c r="O30" s="169"/>
      <c r="P30" s="169"/>
      <c r="Q30" s="170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76"/>
      <c r="K31" s="174"/>
      <c r="L31" s="174"/>
      <c r="M31" s="175"/>
      <c r="N31" s="174"/>
      <c r="O31" s="174"/>
      <c r="P31" s="174"/>
      <c r="Q31" s="175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2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84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27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81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36505536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41367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27"/>
      <c r="U13" s="27"/>
      <c r="V13" s="27"/>
      <c r="W13" s="27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82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28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'!$E$21</f>
        <v>13</v>
      </c>
      <c r="K19" s="117"/>
      <c r="L19" s="117"/>
      <c r="M19" s="118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'!$J$21</f>
        <v>15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'!$O$21</f>
        <v>13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'!$T$21</f>
        <v>19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'!$Y$21</f>
        <v>16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'!$AD$21</f>
        <v>10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'!$AI$21</f>
        <v>13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14</v>
      </c>
      <c r="K26" s="112"/>
      <c r="L26" s="112"/>
      <c r="M26" s="113"/>
      <c r="N26" s="133"/>
      <c r="O26" s="112"/>
      <c r="P26" s="112"/>
      <c r="Q26" s="113"/>
      <c r="R26" s="2"/>
      <c r="S26" s="15"/>
      <c r="T26" s="59"/>
      <c r="U26" s="59"/>
      <c r="V26" s="59"/>
      <c r="W26" s="5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14.142857142857142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26"/>
      <c r="U29" s="26"/>
      <c r="V29" s="26"/>
      <c r="W29" s="26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f>'[1]1er Año U '!$AN$22</f>
        <v>20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/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zoomScaleNormal="100" workbookViewId="0">
      <selection activeCell="C7" sqref="C7:G7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23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</row>
    <row r="3" spans="1:23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5"/>
    </row>
    <row r="4" spans="1:23" ht="7.5" customHeight="1" x14ac:dyDescent="0.25">
      <c r="A4" s="1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"/>
    </row>
    <row r="5" spans="1:23" ht="20.25" customHeight="1" x14ac:dyDescent="0.25">
      <c r="A5" s="75" t="s">
        <v>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23" ht="18.75" customHeight="1" x14ac:dyDescent="0.25">
      <c r="A6" s="78" t="s">
        <v>84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  <c r="T6" s="2"/>
      <c r="U6" s="2"/>
      <c r="V6" s="2"/>
      <c r="W6" s="2"/>
    </row>
    <row r="7" spans="1:23" ht="15.75" customHeight="1" x14ac:dyDescent="0.25">
      <c r="A7" s="1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  <c r="T7" s="81"/>
      <c r="U7" s="81"/>
      <c r="V7" s="81"/>
      <c r="W7" s="81"/>
    </row>
    <row r="8" spans="1:23" ht="31.5" customHeight="1" x14ac:dyDescent="0.25">
      <c r="A8" s="1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5"/>
      <c r="T8" s="82"/>
      <c r="U8" s="82"/>
      <c r="V8" s="82"/>
      <c r="W8" s="82"/>
    </row>
    <row r="9" spans="1:23" ht="18" customHeight="1" x14ac:dyDescent="0.25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  <c r="T9" s="83"/>
      <c r="U9" s="83"/>
      <c r="V9" s="83"/>
      <c r="W9" s="71"/>
    </row>
    <row r="10" spans="1:23" ht="3.75" customHeight="1" x14ac:dyDescent="0.25">
      <c r="A10" s="1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83"/>
      <c r="U10" s="83"/>
      <c r="V10" s="83"/>
      <c r="W10" s="7"/>
    </row>
    <row r="11" spans="1:23" ht="21" customHeight="1" x14ac:dyDescent="0.25">
      <c r="A11" s="14"/>
      <c r="B11" s="3" t="s">
        <v>2</v>
      </c>
      <c r="C11" s="3"/>
      <c r="D11" s="3"/>
      <c r="E11" s="3"/>
      <c r="F11" s="3"/>
      <c r="G11" s="91" t="s">
        <v>81</v>
      </c>
      <c r="H11" s="91"/>
      <c r="I11" s="91"/>
      <c r="J11" s="91"/>
      <c r="K11" s="91"/>
      <c r="L11" s="91"/>
      <c r="M11" s="91"/>
      <c r="N11" s="90" t="s">
        <v>3</v>
      </c>
      <c r="O11" s="90"/>
      <c r="P11" s="84">
        <v>36505536</v>
      </c>
      <c r="Q11" s="84"/>
      <c r="R11" s="84"/>
      <c r="S11" s="16"/>
      <c r="T11" s="85"/>
      <c r="U11" s="85"/>
      <c r="V11" s="85"/>
      <c r="W11" s="85"/>
    </row>
    <row r="12" spans="1:23" ht="21" customHeight="1" x14ac:dyDescent="0.25">
      <c r="A12" s="14"/>
      <c r="B12" s="3" t="s">
        <v>4</v>
      </c>
      <c r="C12" s="3"/>
      <c r="D12" s="3"/>
      <c r="E12" s="3"/>
      <c r="F12" s="3"/>
      <c r="G12" s="86" t="s">
        <v>54</v>
      </c>
      <c r="H12" s="86"/>
      <c r="I12" s="86"/>
      <c r="J12" s="86"/>
      <c r="K12" s="86"/>
      <c r="L12" s="86"/>
      <c r="M12" s="3"/>
      <c r="N12" s="90" t="s">
        <v>11</v>
      </c>
      <c r="O12" s="90"/>
      <c r="P12" s="86">
        <v>12</v>
      </c>
      <c r="Q12" s="86"/>
      <c r="R12" s="86"/>
      <c r="S12" s="17"/>
      <c r="T12" s="83"/>
      <c r="U12" s="83"/>
      <c r="V12" s="83"/>
      <c r="W12" s="83"/>
    </row>
    <row r="13" spans="1:23" ht="21" customHeight="1" x14ac:dyDescent="0.25">
      <c r="A13" s="14"/>
      <c r="B13" s="4" t="s">
        <v>5</v>
      </c>
      <c r="C13" s="3"/>
      <c r="D13" s="5"/>
      <c r="E13" s="5"/>
      <c r="F13" s="5"/>
      <c r="G13" s="87">
        <v>41367</v>
      </c>
      <c r="H13" s="86"/>
      <c r="I13" s="86"/>
      <c r="J13" s="86"/>
      <c r="K13" s="86"/>
      <c r="L13" s="86"/>
      <c r="M13" s="3" t="s">
        <v>6</v>
      </c>
      <c r="N13" s="157" t="s">
        <v>59</v>
      </c>
      <c r="O13" s="157"/>
      <c r="P13" s="6" t="s">
        <v>7</v>
      </c>
      <c r="Q13" s="6"/>
      <c r="R13" s="60" t="s">
        <v>25</v>
      </c>
      <c r="S13" s="16"/>
      <c r="T13" s="71"/>
      <c r="U13" s="71"/>
      <c r="V13" s="71"/>
      <c r="W13" s="71"/>
    </row>
    <row r="14" spans="1:23" ht="21" customHeight="1" x14ac:dyDescent="0.25">
      <c r="A14" s="14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84" t="s">
        <v>82</v>
      </c>
      <c r="L14" s="84"/>
      <c r="M14" s="84"/>
      <c r="N14" s="84"/>
      <c r="O14" s="84"/>
      <c r="P14" s="84"/>
      <c r="Q14" s="84"/>
      <c r="R14" s="84"/>
      <c r="S14" s="18"/>
    </row>
    <row r="15" spans="1:23" ht="21" customHeight="1" x14ac:dyDescent="0.25">
      <c r="A15" s="14"/>
      <c r="B15" s="4" t="s">
        <v>10</v>
      </c>
      <c r="C15" s="4"/>
      <c r="D15" s="4"/>
      <c r="E15" s="4"/>
      <c r="F15" s="4"/>
      <c r="G15" s="84" t="s">
        <v>87</v>
      </c>
      <c r="H15" s="84"/>
      <c r="I15" s="84"/>
      <c r="J15" s="84"/>
      <c r="K15" s="84"/>
      <c r="L15" s="84"/>
      <c r="M15" s="89" t="s">
        <v>8</v>
      </c>
      <c r="N15" s="89"/>
      <c r="O15" s="89"/>
      <c r="P15" s="84" t="s">
        <v>61</v>
      </c>
      <c r="Q15" s="84"/>
      <c r="R15" s="84"/>
      <c r="S15" s="18"/>
    </row>
    <row r="16" spans="1:23" ht="29.25" customHeight="1" thickBot="1" x14ac:dyDescent="0.3">
      <c r="A16" s="19"/>
      <c r="B16" s="4"/>
      <c r="C16" s="4"/>
      <c r="D16" s="4"/>
      <c r="E16" s="4"/>
      <c r="F16" s="4"/>
      <c r="G16" s="92"/>
      <c r="H16" s="92"/>
      <c r="I16" s="70"/>
      <c r="J16" s="4"/>
      <c r="K16" s="4"/>
      <c r="L16" s="4"/>
      <c r="M16" s="5"/>
      <c r="N16" s="5"/>
      <c r="O16" s="5"/>
      <c r="P16" s="5"/>
      <c r="Q16" s="5"/>
      <c r="R16" s="5"/>
      <c r="S16" s="20"/>
      <c r="T16" s="93"/>
      <c r="U16" s="93"/>
      <c r="V16" s="85"/>
      <c r="W16" s="85"/>
    </row>
    <row r="17" spans="1:23" ht="31.5" customHeight="1" thickTop="1" thickBot="1" x14ac:dyDescent="0.3">
      <c r="A17" s="19"/>
      <c r="B17" s="3"/>
      <c r="C17" s="94" t="s">
        <v>12</v>
      </c>
      <c r="D17" s="95"/>
      <c r="E17" s="95"/>
      <c r="F17" s="95"/>
      <c r="G17" s="95"/>
      <c r="H17" s="95"/>
      <c r="I17" s="96"/>
      <c r="J17" s="100" t="s">
        <v>19</v>
      </c>
      <c r="K17" s="101"/>
      <c r="L17" s="101"/>
      <c r="M17" s="101"/>
      <c r="N17" s="101"/>
      <c r="O17" s="101"/>
      <c r="P17" s="101"/>
      <c r="Q17" s="102"/>
      <c r="R17" s="8"/>
      <c r="S17" s="21"/>
      <c r="T17" s="9"/>
      <c r="U17" s="9"/>
      <c r="V17" s="85"/>
      <c r="W17" s="85"/>
    </row>
    <row r="18" spans="1:23" ht="31.5" customHeight="1" thickTop="1" thickBot="1" x14ac:dyDescent="0.3">
      <c r="A18" s="19"/>
      <c r="B18" s="3"/>
      <c r="C18" s="97"/>
      <c r="D18" s="98"/>
      <c r="E18" s="98"/>
      <c r="F18" s="98"/>
      <c r="G18" s="98"/>
      <c r="H18" s="98"/>
      <c r="I18" s="99"/>
      <c r="J18" s="103" t="s">
        <v>30</v>
      </c>
      <c r="K18" s="104"/>
      <c r="L18" s="104"/>
      <c r="M18" s="105"/>
      <c r="N18" s="106" t="s">
        <v>20</v>
      </c>
      <c r="O18" s="106"/>
      <c r="P18" s="106"/>
      <c r="Q18" s="107"/>
      <c r="R18" s="5"/>
      <c r="S18" s="20"/>
      <c r="T18" s="93"/>
      <c r="U18" s="93"/>
      <c r="V18" s="85"/>
      <c r="W18" s="85"/>
    </row>
    <row r="19" spans="1:23" ht="23.25" customHeight="1" thickTop="1" x14ac:dyDescent="0.25">
      <c r="A19" s="14"/>
      <c r="B19" s="2"/>
      <c r="C19" s="114" t="s">
        <v>13</v>
      </c>
      <c r="D19" s="115"/>
      <c r="E19" s="115"/>
      <c r="F19" s="115"/>
      <c r="G19" s="115"/>
      <c r="H19" s="115"/>
      <c r="I19" s="116"/>
      <c r="J19" s="158">
        <f>'[1]1er Año U '!$E$21</f>
        <v>13</v>
      </c>
      <c r="K19" s="117"/>
      <c r="L19" s="117"/>
      <c r="M19" s="118"/>
      <c r="N19" s="117"/>
      <c r="O19" s="117"/>
      <c r="P19" s="117"/>
      <c r="Q19" s="118"/>
      <c r="R19" s="2"/>
      <c r="S19" s="15"/>
      <c r="T19" s="93"/>
      <c r="U19" s="93"/>
      <c r="V19" s="85"/>
      <c r="W19" s="85"/>
    </row>
    <row r="20" spans="1:23" ht="23.25" customHeight="1" x14ac:dyDescent="0.25">
      <c r="A20" s="14"/>
      <c r="B20" s="2"/>
      <c r="C20" s="108" t="s">
        <v>14</v>
      </c>
      <c r="D20" s="109"/>
      <c r="E20" s="109"/>
      <c r="F20" s="109"/>
      <c r="G20" s="109"/>
      <c r="H20" s="109"/>
      <c r="I20" s="110"/>
      <c r="J20" s="133">
        <f>'[1]1er Año U '!$J$21</f>
        <v>15</v>
      </c>
      <c r="K20" s="112"/>
      <c r="L20" s="112"/>
      <c r="M20" s="113"/>
      <c r="N20" s="112"/>
      <c r="O20" s="112"/>
      <c r="P20" s="112"/>
      <c r="Q20" s="113"/>
      <c r="R20" s="2"/>
      <c r="S20" s="15"/>
      <c r="T20" s="93"/>
      <c r="U20" s="93"/>
      <c r="V20" s="85"/>
      <c r="W20" s="85"/>
    </row>
    <row r="21" spans="1:23" ht="23.25" customHeight="1" x14ac:dyDescent="0.25">
      <c r="A21" s="14"/>
      <c r="B21" s="2"/>
      <c r="C21" s="108" t="s">
        <v>15</v>
      </c>
      <c r="D21" s="109"/>
      <c r="E21" s="109"/>
      <c r="F21" s="109"/>
      <c r="G21" s="109"/>
      <c r="H21" s="109"/>
      <c r="I21" s="110"/>
      <c r="J21" s="133">
        <f>'[1]1er Año U '!$O$21</f>
        <v>13</v>
      </c>
      <c r="K21" s="112"/>
      <c r="L21" s="112"/>
      <c r="M21" s="113"/>
      <c r="N21" s="112"/>
      <c r="O21" s="112"/>
      <c r="P21" s="112"/>
      <c r="Q21" s="113"/>
      <c r="R21" s="2"/>
      <c r="S21" s="15"/>
      <c r="T21" s="93"/>
      <c r="U21" s="93"/>
      <c r="V21" s="85"/>
      <c r="W21" s="85"/>
    </row>
    <row r="22" spans="1:23" ht="23.25" customHeight="1" x14ac:dyDescent="0.25">
      <c r="A22" s="14"/>
      <c r="B22" s="2"/>
      <c r="C22" s="108" t="s">
        <v>16</v>
      </c>
      <c r="D22" s="109"/>
      <c r="E22" s="109"/>
      <c r="F22" s="109"/>
      <c r="G22" s="109"/>
      <c r="H22" s="109"/>
      <c r="I22" s="110"/>
      <c r="J22" s="133">
        <f>'[1]1er Año U '!$T$21</f>
        <v>19</v>
      </c>
      <c r="K22" s="112"/>
      <c r="L22" s="112"/>
      <c r="M22" s="113"/>
      <c r="N22" s="112"/>
      <c r="O22" s="112"/>
      <c r="P22" s="112"/>
      <c r="Q22" s="113"/>
      <c r="R22" s="2"/>
      <c r="S22" s="15"/>
      <c r="T22" s="93"/>
      <c r="U22" s="93"/>
      <c r="V22" s="85"/>
      <c r="W22" s="85"/>
    </row>
    <row r="23" spans="1:23" ht="23.25" customHeight="1" x14ac:dyDescent="0.25">
      <c r="A23" s="14"/>
      <c r="B23" s="2"/>
      <c r="C23" s="108" t="s">
        <v>26</v>
      </c>
      <c r="D23" s="109"/>
      <c r="E23" s="109"/>
      <c r="F23" s="109"/>
      <c r="G23" s="109"/>
      <c r="H23" s="109"/>
      <c r="I23" s="110"/>
      <c r="J23" s="133">
        <f>'[1]1er Año U '!$Y$21</f>
        <v>16</v>
      </c>
      <c r="K23" s="112"/>
      <c r="L23" s="112"/>
      <c r="M23" s="113"/>
      <c r="N23" s="112"/>
      <c r="O23" s="112"/>
      <c r="P23" s="112"/>
      <c r="Q23" s="113"/>
      <c r="R23" s="2"/>
      <c r="S23" s="15"/>
      <c r="T23" s="93"/>
      <c r="U23" s="93"/>
      <c r="V23" s="85"/>
      <c r="W23" s="85"/>
    </row>
    <row r="24" spans="1:23" ht="23.25" customHeight="1" x14ac:dyDescent="0.25">
      <c r="A24" s="14"/>
      <c r="B24" s="2"/>
      <c r="C24" s="108" t="s">
        <v>27</v>
      </c>
      <c r="D24" s="109"/>
      <c r="E24" s="109"/>
      <c r="F24" s="109"/>
      <c r="G24" s="109"/>
      <c r="H24" s="109"/>
      <c r="I24" s="110"/>
      <c r="J24" s="133">
        <f>'[1]1er Año U '!$AD$21</f>
        <v>10</v>
      </c>
      <c r="K24" s="112"/>
      <c r="L24" s="112"/>
      <c r="M24" s="113"/>
      <c r="N24" s="112"/>
      <c r="O24" s="112"/>
      <c r="P24" s="112"/>
      <c r="Q24" s="113"/>
      <c r="R24" s="2"/>
      <c r="S24" s="15"/>
      <c r="T24" s="119"/>
      <c r="U24" s="119"/>
      <c r="V24" s="85"/>
      <c r="W24" s="85"/>
    </row>
    <row r="25" spans="1:23" ht="23.25" customHeight="1" x14ac:dyDescent="0.25">
      <c r="A25" s="14"/>
      <c r="B25" s="2"/>
      <c r="C25" s="120" t="s">
        <v>17</v>
      </c>
      <c r="D25" s="121"/>
      <c r="E25" s="121"/>
      <c r="F25" s="121"/>
      <c r="G25" s="121"/>
      <c r="H25" s="121"/>
      <c r="I25" s="122"/>
      <c r="J25" s="133">
        <f>'[1]1er Año U '!$AI$21</f>
        <v>13</v>
      </c>
      <c r="K25" s="112"/>
      <c r="L25" s="112"/>
      <c r="M25" s="113"/>
      <c r="N25" s="112"/>
      <c r="O25" s="112"/>
      <c r="P25" s="112"/>
      <c r="Q25" s="113"/>
      <c r="R25" s="2"/>
      <c r="S25" s="15"/>
      <c r="T25" s="123"/>
      <c r="U25" s="123"/>
      <c r="V25" s="123"/>
      <c r="W25" s="123"/>
    </row>
    <row r="26" spans="1:23" ht="23.25" customHeight="1" x14ac:dyDescent="0.25">
      <c r="A26" s="14"/>
      <c r="B26" s="2"/>
      <c r="C26" s="61"/>
      <c r="D26" s="62"/>
      <c r="E26" s="62"/>
      <c r="F26" s="62" t="s">
        <v>60</v>
      </c>
      <c r="G26" s="62"/>
      <c r="H26" s="62"/>
      <c r="I26" s="63"/>
      <c r="J26" s="133">
        <v>14</v>
      </c>
      <c r="K26" s="112"/>
      <c r="L26" s="112"/>
      <c r="M26" s="113"/>
      <c r="N26" s="133"/>
      <c r="O26" s="112"/>
      <c r="P26" s="112"/>
      <c r="Q26" s="113"/>
      <c r="R26" s="2"/>
      <c r="S26" s="15"/>
      <c r="T26" s="69"/>
      <c r="U26" s="69"/>
      <c r="V26" s="69"/>
      <c r="W26" s="69"/>
    </row>
    <row r="27" spans="1:23" ht="23.25" customHeight="1" thickBot="1" x14ac:dyDescent="0.3">
      <c r="A27" s="14"/>
      <c r="B27" s="2"/>
      <c r="C27" s="124" t="s">
        <v>18</v>
      </c>
      <c r="D27" s="125"/>
      <c r="E27" s="125"/>
      <c r="F27" s="125"/>
      <c r="G27" s="125"/>
      <c r="H27" s="125"/>
      <c r="I27" s="126"/>
      <c r="J27" s="127">
        <f>AVERAGE(J19:M25)</f>
        <v>14.142857142857142</v>
      </c>
      <c r="K27" s="128"/>
      <c r="L27" s="128"/>
      <c r="M27" s="129"/>
      <c r="N27" s="130"/>
      <c r="O27" s="130"/>
      <c r="P27" s="130"/>
      <c r="Q27" s="131"/>
      <c r="R27" s="2"/>
      <c r="S27" s="15"/>
      <c r="T27" s="132"/>
      <c r="U27" s="132"/>
      <c r="V27" s="132"/>
      <c r="W27" s="132"/>
    </row>
    <row r="28" spans="1:23" ht="6" customHeight="1" thickTop="1" thickBot="1" x14ac:dyDescent="0.3">
      <c r="A28" s="14"/>
      <c r="B28" s="2"/>
      <c r="C28" s="2"/>
      <c r="D28" s="2"/>
      <c r="E28" s="2"/>
      <c r="F28" s="2"/>
      <c r="G28" s="2"/>
      <c r="H28" s="2"/>
      <c r="I28" s="2"/>
      <c r="J28" s="41"/>
      <c r="K28" s="41"/>
      <c r="L28" s="41"/>
      <c r="M28" s="41"/>
      <c r="N28" s="41"/>
      <c r="O28" s="41"/>
      <c r="P28" s="41"/>
      <c r="Q28" s="41"/>
      <c r="R28" s="2"/>
      <c r="S28" s="15"/>
      <c r="T28" s="132"/>
      <c r="U28" s="132"/>
      <c r="V28" s="132"/>
      <c r="W28" s="132"/>
    </row>
    <row r="29" spans="1:23" ht="23.25" customHeight="1" thickTop="1" thickBot="1" x14ac:dyDescent="0.3">
      <c r="A29" s="14"/>
      <c r="B29" s="2"/>
      <c r="C29" s="140" t="s">
        <v>12</v>
      </c>
      <c r="D29" s="141"/>
      <c r="E29" s="141"/>
      <c r="F29" s="141"/>
      <c r="G29" s="141"/>
      <c r="H29" s="141"/>
      <c r="I29" s="142"/>
      <c r="J29" s="143" t="s">
        <v>29</v>
      </c>
      <c r="K29" s="144"/>
      <c r="L29" s="144"/>
      <c r="M29" s="145"/>
      <c r="N29" s="146" t="s">
        <v>20</v>
      </c>
      <c r="O29" s="146"/>
      <c r="P29" s="146"/>
      <c r="Q29" s="147"/>
      <c r="R29" s="2"/>
      <c r="S29" s="15"/>
      <c r="T29" s="68"/>
      <c r="U29" s="68"/>
      <c r="V29" s="68"/>
      <c r="W29" s="68"/>
    </row>
    <row r="30" spans="1:23" ht="23.25" customHeight="1" thickTop="1" x14ac:dyDescent="0.25">
      <c r="A30" s="14"/>
      <c r="B30" s="2"/>
      <c r="C30" s="134" t="s">
        <v>24</v>
      </c>
      <c r="D30" s="135"/>
      <c r="E30" s="135"/>
      <c r="F30" s="135"/>
      <c r="G30" s="135"/>
      <c r="H30" s="135"/>
      <c r="I30" s="136"/>
      <c r="J30" s="137">
        <f>'[1]1er Año U '!$AN$22</f>
        <v>20</v>
      </c>
      <c r="K30" s="138"/>
      <c r="L30" s="138"/>
      <c r="M30" s="139"/>
      <c r="N30" s="138"/>
      <c r="O30" s="138"/>
      <c r="P30" s="138"/>
      <c r="Q30" s="139"/>
      <c r="R30" s="2"/>
      <c r="S30" s="15"/>
      <c r="T30" s="132"/>
      <c r="U30" s="132"/>
      <c r="V30" s="132"/>
      <c r="W30" s="132"/>
    </row>
    <row r="31" spans="1:23" ht="27" customHeight="1" thickBot="1" x14ac:dyDescent="0.3">
      <c r="A31" s="14"/>
      <c r="B31" s="2"/>
      <c r="C31" s="152" t="s">
        <v>28</v>
      </c>
      <c r="D31" s="153"/>
      <c r="E31" s="153"/>
      <c r="F31" s="153"/>
      <c r="G31" s="154"/>
      <c r="H31" s="154"/>
      <c r="I31" s="155"/>
      <c r="J31" s="156"/>
      <c r="K31" s="148"/>
      <c r="L31" s="148"/>
      <c r="M31" s="149"/>
      <c r="N31" s="148"/>
      <c r="O31" s="148"/>
      <c r="P31" s="148"/>
      <c r="Q31" s="149"/>
      <c r="R31" s="2"/>
      <c r="S31" s="15"/>
      <c r="T31" s="132"/>
      <c r="U31" s="132"/>
      <c r="V31" s="132"/>
      <c r="W31" s="132"/>
    </row>
    <row r="32" spans="1:23" ht="42.75" customHeight="1" thickTop="1" x14ac:dyDescent="0.25">
      <c r="A32" s="14"/>
      <c r="B32" s="2"/>
      <c r="C32" s="2" t="s">
        <v>21</v>
      </c>
      <c r="D32" s="2"/>
      <c r="E32" s="2"/>
      <c r="F32" s="2"/>
      <c r="G32" s="150"/>
      <c r="H32" s="150"/>
      <c r="I32" s="150"/>
      <c r="J32" s="2"/>
      <c r="K32" s="2" t="s">
        <v>22</v>
      </c>
      <c r="L32" s="2"/>
      <c r="M32" s="2"/>
      <c r="N32" s="2"/>
      <c r="O32" s="151"/>
      <c r="P32" s="151"/>
      <c r="Q32" s="151"/>
      <c r="R32" s="2"/>
      <c r="S32" s="15"/>
      <c r="T32" s="132"/>
      <c r="U32" s="132"/>
      <c r="V32" s="132"/>
      <c r="W32" s="132"/>
    </row>
    <row r="33" spans="1:19" ht="30" customHeight="1" x14ac:dyDescent="0.25">
      <c r="A33" s="14"/>
      <c r="B33" s="2"/>
      <c r="C33" s="2"/>
      <c r="D33" s="2"/>
      <c r="E33" s="2"/>
      <c r="F33" s="2"/>
      <c r="G33" s="25"/>
      <c r="H33" s="25"/>
      <c r="I33" s="25"/>
      <c r="J33" s="10" t="s">
        <v>23</v>
      </c>
      <c r="K33" s="2"/>
      <c r="L33" s="2"/>
      <c r="M33" s="2"/>
      <c r="N33" s="2"/>
      <c r="O33" s="2"/>
      <c r="P33" s="2"/>
      <c r="Q33" s="2"/>
      <c r="R33" s="2"/>
      <c r="S33" s="15"/>
    </row>
    <row r="34" spans="1:19" ht="30" customHeight="1" thickBo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G32:I32"/>
    <mergeCell ref="O32:Q32"/>
    <mergeCell ref="T32:U32"/>
    <mergeCell ref="V32:W32"/>
    <mergeCell ref="T30:U30"/>
    <mergeCell ref="V30:W30"/>
    <mergeCell ref="C31:I31"/>
    <mergeCell ref="J31:M31"/>
    <mergeCell ref="N31:Q31"/>
    <mergeCell ref="T31:U31"/>
    <mergeCell ref="V31:W31"/>
    <mergeCell ref="C29:I29"/>
    <mergeCell ref="J29:M29"/>
    <mergeCell ref="N29:Q29"/>
    <mergeCell ref="C30:I30"/>
    <mergeCell ref="J30:M30"/>
    <mergeCell ref="N30:Q30"/>
    <mergeCell ref="T28:U28"/>
    <mergeCell ref="V28:W28"/>
    <mergeCell ref="C25:I25"/>
    <mergeCell ref="J25:M25"/>
    <mergeCell ref="N25:Q25"/>
    <mergeCell ref="T25:W25"/>
    <mergeCell ref="J26:M26"/>
    <mergeCell ref="N26:Q26"/>
    <mergeCell ref="C27:I27"/>
    <mergeCell ref="J27:M27"/>
    <mergeCell ref="N27:Q27"/>
    <mergeCell ref="T27:U27"/>
    <mergeCell ref="V27:W27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R14"/>
    <mergeCell ref="G15:L15"/>
    <mergeCell ref="M15:O15"/>
    <mergeCell ref="P15:R15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23958333333333334" bottom="0.43307086614173229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NOMINA</vt:lpstr>
      <vt:lpstr>CECIN</vt:lpstr>
      <vt:lpstr>GUZMAN2</vt:lpstr>
      <vt:lpstr>AMUNDARAY</vt:lpstr>
      <vt:lpstr>LARA</vt:lpstr>
      <vt:lpstr>TABARES</vt:lpstr>
      <vt:lpstr>CHACOA</vt:lpstr>
      <vt:lpstr>RODRIGUEZ</vt:lpstr>
      <vt:lpstr>GOMEZ</vt:lpstr>
      <vt:lpstr>BRITO</vt:lpstr>
      <vt:lpstr>CABELLO</vt:lpstr>
      <vt:lpstr>PEÑA</vt:lpstr>
      <vt:lpstr>LEARIS</vt:lpstr>
      <vt:lpstr>AMUNDARAY!Área_de_impresión</vt:lpstr>
      <vt:lpstr>BRITO!Área_de_impresión</vt:lpstr>
      <vt:lpstr>CABELLO!Área_de_impresión</vt:lpstr>
      <vt:lpstr>CECIN!Área_de_impresión</vt:lpstr>
      <vt:lpstr>CHACOA!Área_de_impresión</vt:lpstr>
      <vt:lpstr>GOMEZ!Área_de_impresión</vt:lpstr>
      <vt:lpstr>GUZMAN2!Área_de_impresión</vt:lpstr>
      <vt:lpstr>LARA!Área_de_impresión</vt:lpstr>
      <vt:lpstr>LEARIS!Área_de_impresión</vt:lpstr>
      <vt:lpstr>PEÑA!Área_de_impresión</vt:lpstr>
      <vt:lpstr>RODRIGUEZ!Área_de_impresión</vt:lpstr>
      <vt:lpstr>TABARES!Área_de_impresión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CECILIO PRIMARIA</cp:lastModifiedBy>
  <cp:lastPrinted>2025-12-11T16:12:30Z</cp:lastPrinted>
  <dcterms:created xsi:type="dcterms:W3CDTF">2023-11-22T13:07:37Z</dcterms:created>
  <dcterms:modified xsi:type="dcterms:W3CDTF">2026-03-12T17:17:32Z</dcterms:modified>
</cp:coreProperties>
</file>